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124226"/>
  <mc:AlternateContent xmlns:mc="http://schemas.openxmlformats.org/markup-compatibility/2006">
    <mc:Choice Requires="x15">
      <x15ac:absPath xmlns:x15ac="http://schemas.microsoft.com/office/spreadsheetml/2010/11/ac" url="https://d.docs.live.net/0ba97a91002e3819/Documents/AI-Career-companion-Agent/documentation/"/>
    </mc:Choice>
  </mc:AlternateContent>
  <xr:revisionPtr revIDLastSave="212" documentId="11_21FE246E1D4E1EEB61B42CCB59C4DDD070F02EFE" xr6:coauthVersionLast="47" xr6:coauthVersionMax="47" xr10:uidLastSave="{B5645467-B52B-48A1-B0C6-CF0388A2E6F2}"/>
  <bookViews>
    <workbookView xWindow="-108" yWindow="-108" windowWidth="23256" windowHeight="12456" tabRatio="775" xr2:uid="{00000000-000D-0000-FFFF-FFFF00000000}"/>
  </bookViews>
  <sheets>
    <sheet name="Product Backlog" sheetId="1" r:id="rId1"/>
    <sheet name="Sprint Backlog" sheetId="2" r:id="rId2"/>
    <sheet name="Stand up Meeting" sheetId="3" r:id="rId3"/>
    <sheet name="Retrospection" sheetId="4" r:id="rId4"/>
  </sheets>
  <definedNames>
    <definedName name="actual" localSheetId="1">'Sprint Backlog'!#REF!</definedName>
    <definedName name="actual">'Sprint Backlog'!#REF!</definedName>
    <definedName name="Build">"1,2,3"</definedName>
    <definedName name="BusinessValue">#REF!</definedName>
    <definedName name="Category">OFFSET(#REF!,0,0,COUNTA(#REF!),1)</definedName>
    <definedName name="Priority">#REF!</definedName>
    <definedName name="Recommendation">OFFSET(#REF!,0,0,COUNTA(#REF!),1)</definedName>
    <definedName name="Risk">#REF!</definedName>
    <definedName name="Sprint_Length">#REF!</definedName>
    <definedName name="Sprint_Start">#REF!</definedName>
    <definedName name="Status">#REF!</definedName>
    <definedName name="Team">OFFSET(#REF!,0,0,COUNTA(#REF!),1)</definedName>
    <definedName name="Type">#REF!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3" i="2" l="1"/>
  <c r="V3" i="2"/>
  <c r="U3" i="2"/>
  <c r="T3" i="2"/>
  <c r="S3" i="2"/>
  <c r="R3" i="2"/>
  <c r="Q3" i="2"/>
  <c r="P3" i="2"/>
  <c r="O3" i="2"/>
  <c r="N3" i="2"/>
  <c r="M3" i="2"/>
  <c r="L3" i="2"/>
  <c r="K3" i="2"/>
  <c r="J3" i="2"/>
  <c r="I3"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Sumeet Kumar Barua08</author>
  </authors>
  <commentList>
    <comment ref="F1" authorId="0" shapeId="0" xr:uid="{00000000-0006-0000-0000-000001000000}">
      <text>
        <r>
          <rPr>
            <sz val="10"/>
            <rFont val="Arial"/>
          </rPr>
          <t xml:space="preserve">Mention the US ID(s) on which the user story depends.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Sumeet Kumar Barua08</author>
  </authors>
  <commentList>
    <comment ref="D2" authorId="0" shapeId="0" xr:uid="{00000000-0006-0000-0100-000001000000}">
      <text>
        <r>
          <rPr>
            <sz val="10"/>
            <rFont val="Arial"/>
          </rPr>
          <t>Please enter the dates in either of these formats: 
9/15/2016  or
15-Sep-2016</t>
        </r>
      </text>
    </comment>
    <comment ref="E2" authorId="0" shapeId="0" xr:uid="{00000000-0006-0000-0100-000002000000}">
      <text>
        <r>
          <rPr>
            <sz val="10"/>
            <rFont val="Arial"/>
          </rPr>
          <t xml:space="preserve">Please enter the dates in either of these formats: 
9/15/2016  or
15-Sep-2016
</t>
        </r>
      </text>
    </comment>
    <comment ref="I3" authorId="0" shapeId="0" xr:uid="{00000000-0006-0000-0100-000003000000}">
      <text>
        <r>
          <rPr>
            <sz val="10"/>
            <rFont val="Arial"/>
          </rPr>
          <t xml:space="preserve">This is the total task estimated in hours for all the user stories </t>
        </r>
      </text>
    </comment>
    <comment ref="J3" authorId="0" shapeId="0" xr:uid="{00000000-0006-0000-0100-000004000000}">
      <text>
        <r>
          <rPr>
            <sz val="10"/>
            <rFont val="Arial"/>
          </rPr>
          <t xml:space="preserve">Pending effort hours after completion of day 1 work
</t>
        </r>
      </text>
    </comment>
    <comment ref="K3" authorId="0" shapeId="0" xr:uid="{00000000-0006-0000-0100-000005000000}">
      <text>
        <r>
          <rPr>
            <sz val="10"/>
            <rFont val="Arial"/>
          </rPr>
          <t>Pending effort hours after completion of day 2 work</t>
        </r>
      </text>
    </comment>
    <comment ref="L3" authorId="0" shapeId="0" xr:uid="{00000000-0006-0000-0100-000006000000}">
      <text>
        <r>
          <rPr>
            <sz val="10"/>
            <rFont val="Arial"/>
          </rPr>
          <t>Pending effort hours after completion of day 3 work</t>
        </r>
      </text>
    </comment>
    <comment ref="M3" authorId="0" shapeId="0" xr:uid="{00000000-0006-0000-0100-000007000000}">
      <text>
        <r>
          <rPr>
            <sz val="10"/>
            <rFont val="Arial"/>
          </rPr>
          <t xml:space="preserve">Pending effort hours after completion of day 4 work
</t>
        </r>
      </text>
    </comment>
    <comment ref="N3" authorId="0" shapeId="0" xr:uid="{00000000-0006-0000-0100-000008000000}">
      <text>
        <r>
          <rPr>
            <sz val="10"/>
            <rFont val="Arial"/>
          </rPr>
          <t xml:space="preserve">Pending effort hours after completion of day 5 work
</t>
        </r>
      </text>
    </comment>
    <comment ref="O3" authorId="0" shapeId="0" xr:uid="{00000000-0006-0000-0100-000009000000}">
      <text>
        <r>
          <rPr>
            <sz val="10"/>
            <rFont val="Arial"/>
          </rPr>
          <t xml:space="preserve">Pending effort hours after completion of day 6 work
</t>
        </r>
      </text>
    </comment>
    <comment ref="P3" authorId="0" shapeId="0" xr:uid="{00000000-0006-0000-0100-00000A000000}">
      <text>
        <r>
          <rPr>
            <sz val="10"/>
            <rFont val="Arial"/>
          </rPr>
          <t>Pending effort hours after completion of day 7 work</t>
        </r>
      </text>
    </comment>
    <comment ref="Q3" authorId="0" shapeId="0" xr:uid="{00000000-0006-0000-0100-00000B000000}">
      <text>
        <r>
          <rPr>
            <sz val="10"/>
            <rFont val="Arial"/>
          </rPr>
          <t xml:space="preserve">Pending effort hours after completion of day 8 work
</t>
        </r>
      </text>
    </comment>
    <comment ref="R3" authorId="0" shapeId="0" xr:uid="{00000000-0006-0000-0100-00000C000000}">
      <text>
        <r>
          <rPr>
            <sz val="10"/>
            <rFont val="Arial"/>
          </rPr>
          <t xml:space="preserve">Pending effort hours after completion of day 9 work
</t>
        </r>
      </text>
    </comment>
    <comment ref="S3" authorId="0" shapeId="0" xr:uid="{00000000-0006-0000-0100-00000D000000}">
      <text>
        <r>
          <rPr>
            <sz val="10"/>
            <rFont val="Arial"/>
          </rPr>
          <t xml:space="preserve">Pending effort hours after completion of day 10 work
</t>
        </r>
      </text>
    </comment>
    <comment ref="T3" authorId="0" shapeId="0" xr:uid="{00000000-0006-0000-0100-00000E000000}">
      <text>
        <r>
          <rPr>
            <sz val="10"/>
            <rFont val="Arial"/>
          </rPr>
          <t xml:space="preserve">Pending effort hours after completion of day 11 work
</t>
        </r>
      </text>
    </comment>
    <comment ref="U3" authorId="0" shapeId="0" xr:uid="{00000000-0006-0000-0100-00000F000000}">
      <text>
        <r>
          <rPr>
            <sz val="10"/>
            <rFont val="Arial"/>
          </rPr>
          <t xml:space="preserve">Pending effort hours after completion of day 12 work
</t>
        </r>
      </text>
    </comment>
    <comment ref="V3" authorId="0" shapeId="0" xr:uid="{00000000-0006-0000-0100-000010000000}">
      <text>
        <r>
          <rPr>
            <sz val="10"/>
            <rFont val="Arial"/>
          </rPr>
          <t xml:space="preserve">Pending effort hours after completion of day 13 work
</t>
        </r>
      </text>
    </comment>
    <comment ref="W3" authorId="0" shapeId="0" xr:uid="{00000000-0006-0000-0100-000011000000}">
      <text>
        <r>
          <rPr>
            <sz val="10"/>
            <rFont val="Arial"/>
          </rPr>
          <t xml:space="preserve">Pending effort hours after completion of day 14 work
</t>
        </r>
      </text>
    </comment>
  </commentList>
</comments>
</file>

<file path=xl/sharedStrings.xml><?xml version="1.0" encoding="utf-8"?>
<sst xmlns="http://schemas.openxmlformats.org/spreadsheetml/2006/main" count="498" uniqueCount="248">
  <si>
    <t>SL #</t>
  </si>
  <si>
    <t>Sprint #</t>
  </si>
  <si>
    <t>Sprint start date</t>
  </si>
  <si>
    <t>Sprint end date</t>
  </si>
  <si>
    <t xml:space="preserve">Team member name </t>
  </si>
  <si>
    <t>Start Doing</t>
  </si>
  <si>
    <t xml:space="preserve">Stop Doing </t>
  </si>
  <si>
    <t xml:space="preserve">Continue Doing </t>
  </si>
  <si>
    <t>Action taken</t>
  </si>
  <si>
    <t>Sprint 1</t>
  </si>
  <si>
    <t>Dharma Teja</t>
  </si>
  <si>
    <t>Plan tasks clearly before implementation</t>
  </si>
  <si>
    <t>Spending too much time on minor implementation issues</t>
  </si>
  <si>
    <t>Regular testing after completing each feature</t>
  </si>
  <si>
    <t>Followed a planned task sequence and tested the implemented features</t>
  </si>
  <si>
    <t>Sprint 2</t>
  </si>
  <si>
    <t>Validate retrieval and matching results with sample profiles</t>
  </si>
  <si>
    <t>Making changes without testing the complete pipeline</t>
  </si>
  <si>
    <t>Testing each component before integration</t>
  </si>
  <si>
    <t>Tested the RAG pipeline and integrated the retrieval and matching features with the Flask application</t>
  </si>
  <si>
    <t>Planned Sprint</t>
  </si>
  <si>
    <t>Actual Sprint</t>
  </si>
  <si>
    <t>US ID</t>
  </si>
  <si>
    <t>User Story Description</t>
  </si>
  <si>
    <t>MOSCOW</t>
  </si>
  <si>
    <t>Dependency</t>
  </si>
  <si>
    <t>Assignee</t>
  </si>
  <si>
    <t>Status</t>
  </si>
  <si>
    <t>US01</t>
  </si>
  <si>
    <t>As a student, I want to upload my resume so that the system can analyze it.</t>
  </si>
  <si>
    <t>MUST HAVE</t>
  </si>
  <si>
    <t>Resume parser</t>
  </si>
  <si>
    <t>3- Completed</t>
  </si>
  <si>
    <t>sprint1</t>
  </si>
  <si>
    <t>US02</t>
  </si>
  <si>
    <t>As a student, I want the system to extract my details from my resume so that my profile can be created automatically.</t>
  </si>
  <si>
    <t>Resume Upload</t>
  </si>
  <si>
    <t>Sprint1</t>
  </si>
  <si>
    <t>US03</t>
  </si>
  <si>
    <t>As a student, I want my resume to be analyzed so that I can understand its strengths, weaknesses, and overall score.</t>
  </si>
  <si>
    <t>Resume Analysis</t>
  </si>
  <si>
    <t>sprint 1</t>
  </si>
  <si>
    <t>US04</t>
  </si>
  <si>
    <t>As a student, I want to receive career role recommendations based on my resume so that I can identify suitable career options</t>
  </si>
  <si>
    <t>Candidate Profile</t>
  </si>
  <si>
    <t>US05</t>
  </si>
  <si>
    <t>As a student, I want to identify my skill gaps for a recommended career role so that I know which skills I need to improve.</t>
  </si>
  <si>
    <t>Career Recommendations</t>
  </si>
  <si>
    <t>Sorint 1</t>
  </si>
  <si>
    <t>US06</t>
  </si>
  <si>
    <t>As a student, I want to receive interview questions and preparation tips based on my recommended career role so that I can prepare for interviews.</t>
  </si>
  <si>
    <t>career Recommendations</t>
  </si>
  <si>
    <t>US07</t>
  </si>
  <si>
    <t>As a student, I want the system to use multiple AI agents for resume analysis, career recommendations, skill-gap analysis, and interview preparation so that I can receive comprehensive career assistance.</t>
  </si>
  <si>
    <t>AI Agents</t>
  </si>
  <si>
    <t xml:space="preserve"> Sprint 2</t>
  </si>
  <si>
    <t>sprint2</t>
  </si>
  <si>
    <t>Us08</t>
  </si>
  <si>
    <t>As a student, I want the system to have a curated internship job knowledge base so that relevant job opportunities can be retrieved.</t>
  </si>
  <si>
    <t>Job Dataset</t>
  </si>
  <si>
    <t>Sprint2</t>
  </si>
  <si>
    <t>Us09</t>
  </si>
  <si>
    <t>As a student, I want job postings to be chunked and converted into embeddings so that the system can perform semantic search.</t>
  </si>
  <si>
    <t>Internship Knowledge Base</t>
  </si>
  <si>
    <t>US10</t>
  </si>
  <si>
    <t>Job Embeddings and FAISS Index</t>
  </si>
  <si>
    <t>US11</t>
  </si>
  <si>
    <t>As a student, I want the system to compare my resume with retrieved job postings so that I can understand how well I match each opportunity.</t>
  </si>
  <si>
    <t>Semantic Job Retrieval</t>
  </si>
  <si>
    <t>US12</t>
  </si>
  <si>
    <t>As a student, I want each matched job to have a compatibility score with an explanation of matching and missing skills so that I can understand why the job is suitable for me.</t>
  </si>
  <si>
    <t>Job-Resume Matching Agent</t>
  </si>
  <si>
    <t>NOTES:  Task sizing should be between 0.5 to 12 hours</t>
  </si>
  <si>
    <t>Task ID</t>
  </si>
  <si>
    <t>Task Description</t>
  </si>
  <si>
    <t>Task Start Date</t>
  </si>
  <si>
    <t>Task Completion Date</t>
  </si>
  <si>
    <t>Team Member</t>
  </si>
  <si>
    <t>Activity</t>
  </si>
  <si>
    <t>Original Estimate Effort (In Hours)</t>
  </si>
  <si>
    <t>Day 1</t>
  </si>
  <si>
    <t>Day 2</t>
  </si>
  <si>
    <t>Day 3</t>
  </si>
  <si>
    <t>Day 4</t>
  </si>
  <si>
    <t>Day 5</t>
  </si>
  <si>
    <t>Day 6</t>
  </si>
  <si>
    <t>Day 7</t>
  </si>
  <si>
    <t>Day 8</t>
  </si>
  <si>
    <t>Day 9</t>
  </si>
  <si>
    <t>Day 10</t>
  </si>
  <si>
    <t>Day 11</t>
  </si>
  <si>
    <t>Day 12</t>
  </si>
  <si>
    <t>Day 13</t>
  </si>
  <si>
    <t>Day 14</t>
  </si>
  <si>
    <t>SPRINT  1  BACKLOG</t>
  </si>
  <si>
    <t>T01</t>
  </si>
  <si>
    <t>Research and understand requirements for the AI Career Companion</t>
  </si>
  <si>
    <t>Research</t>
  </si>
  <si>
    <t>Completed</t>
  </si>
  <si>
    <t>4 hours</t>
  </si>
  <si>
    <t>Research and understand project requirements</t>
  </si>
  <si>
    <t>T02</t>
  </si>
  <si>
    <t>Implement resume upload and PDF text extraction</t>
  </si>
  <si>
    <t>Development</t>
  </si>
  <si>
    <t>6 hours</t>
  </si>
  <si>
    <t>Resume upload and PDF text extraction</t>
  </si>
  <si>
    <t>T03</t>
  </si>
  <si>
    <t>Implement resume analysis and scoring using Gemini LLM</t>
  </si>
  <si>
    <t>7 hours</t>
  </si>
  <si>
    <t>Resume analysis and scoring</t>
  </si>
  <si>
    <t>T04</t>
  </si>
  <si>
    <t>Implement career role recommendation agent</t>
  </si>
  <si>
    <t>5 hours</t>
  </si>
  <si>
    <t>Career recommendation agent</t>
  </si>
  <si>
    <t>T05</t>
  </si>
  <si>
    <t>Implement skill gap analysis agent</t>
  </si>
  <si>
    <t>Skill gap analysis agent</t>
  </si>
  <si>
    <t>T06</t>
  </si>
  <si>
    <t>Implement interview preparation agent</t>
  </si>
  <si>
    <t>Interview preparation agent</t>
  </si>
  <si>
    <t>T07</t>
  </si>
  <si>
    <t>AI agents with the Flask application and perform end-to-end testing</t>
  </si>
  <si>
    <t>Integration</t>
  </si>
  <si>
    <t>8 hours</t>
  </si>
  <si>
    <t>AI agent integration and end-to-end testing</t>
  </si>
  <si>
    <t>US08</t>
  </si>
  <si>
    <t>T08</t>
  </si>
  <si>
    <t>Prepare and curate the internship job posting dataset</t>
  </si>
  <si>
    <t>Research and dataset preparation</t>
  </si>
  <si>
    <t>US09</t>
  </si>
  <si>
    <t>T09</t>
  </si>
  <si>
    <t>Clean and preprocess the curated job posting dataset</t>
  </si>
  <si>
    <t>Clean and preprocess job dataset</t>
  </si>
  <si>
    <t>T10</t>
  </si>
  <si>
    <t>Split job postings into searchable text chunks for semantic retrieval</t>
  </si>
  <si>
    <t>Split job postings into searchable chunks</t>
  </si>
  <si>
    <t>T11</t>
  </si>
  <si>
    <t>Generate embeddings for job posting chunks for semantic retrieval</t>
  </si>
  <si>
    <t>Generate embeddings for job chunks</t>
  </si>
  <si>
    <t>T12</t>
  </si>
  <si>
    <t>Build FAISS vector index for job posting embeddings</t>
  </si>
  <si>
    <t>3-Completed</t>
  </si>
  <si>
    <t>Build FAISS vector index</t>
  </si>
  <si>
    <t>T13</t>
  </si>
  <si>
    <t>Implement semantic job retrieval agent using the FAISS index</t>
  </si>
  <si>
    <t>Implement semantic job retrieval agent</t>
  </si>
  <si>
    <t>T14</t>
  </si>
  <si>
    <t>Implement job-resume matching agent to compare candidate profiles with retrieved jobs</t>
  </si>
  <si>
    <t>Implement job-resume matching agent</t>
  </si>
  <si>
    <t>T15</t>
  </si>
  <si>
    <t>Add compatibility scoring and explanations for matched jobs</t>
  </si>
  <si>
    <t>Add compatibility scoring and explanations</t>
  </si>
  <si>
    <t>T16</t>
  </si>
  <si>
    <t>Validate job retrieval and matching results using sample student profiles</t>
  </si>
  <si>
    <t>Testing</t>
  </si>
  <si>
    <t>Validate retrieval and matching results</t>
  </si>
  <si>
    <t>T17</t>
  </si>
  <si>
    <t>Integrate job retrieval and matching agents with the Flask application</t>
  </si>
  <si>
    <t>Integrate agents with Flask application</t>
  </si>
  <si>
    <t xml:space="preserve"> </t>
  </si>
  <si>
    <t xml:space="preserve">Sprint </t>
  </si>
  <si>
    <t>Day</t>
  </si>
  <si>
    <t>Impediments</t>
  </si>
  <si>
    <t>Action Taken</t>
  </si>
  <si>
    <t>Understanding project requirements</t>
  </si>
  <si>
    <t>Discussed and clarified the requirements and planned the implementation</t>
  </si>
  <si>
    <t>PDF text extraction needed to be implemented</t>
  </si>
  <si>
    <t>Implemented PDF resume upload and text extraction using PyPDF2</t>
  </si>
  <si>
    <t>Resume analysis and scoring needed to be integrated with the LLM</t>
  </si>
  <si>
    <t>Implemented resume analysis and scoring using Gemini LLM</t>
  </si>
  <si>
    <t>Career recommendation logic needed to be implemented</t>
  </si>
  <si>
    <t>Implemented the career role recommendation agent</t>
  </si>
  <si>
    <t>Skill gap analysis needed to be implemented based on recommended roles</t>
  </si>
  <si>
    <t>Implemented the skill gap analysis agent</t>
  </si>
  <si>
    <t>Interview preparation needed to be personalized for the candidate</t>
  </si>
  <si>
    <t>Implemented the interview preparation agent</t>
  </si>
  <si>
    <t>Multiple AI agents needed to work together in the Flask application</t>
  </si>
  <si>
    <t>Integrated the AI agents and performed end-to-end testing</t>
  </si>
  <si>
    <t>Internship job dataset needed to be prepared for the RAG pipeline</t>
  </si>
  <si>
    <t>Curated and prepared the internship job posting dataset</t>
  </si>
  <si>
    <t>Raw job postings contained missing and inconsistent data</t>
  </si>
  <si>
    <t>Cleaned and preprocessed the job posting dataset</t>
  </si>
  <si>
    <t>Job postings needed to be divided into smaller sections for semantic retrieval</t>
  </si>
  <si>
    <t>Split the job postings into searchable text chunks</t>
  </si>
  <si>
    <t>Job chunks needed vector representations for semantic search</t>
  </si>
  <si>
    <t>Generated embeddings for the job posting chunks</t>
  </si>
  <si>
    <t>Job embeddings needed to be indexed for efficient similarity search</t>
  </si>
  <si>
    <t>Built the FAISS vector index using the generated embeddings</t>
  </si>
  <si>
    <t>Relevant jobs needed to be retrieved based on the candidate profile</t>
  </si>
  <si>
    <t>Implemented the semantic job retrieval agent using the FAISS index</t>
  </si>
  <si>
    <t>Retrieved jobs needed to be compared with the candidate profile</t>
  </si>
  <si>
    <t>Implemented the job-resume matching agent</t>
  </si>
  <si>
    <t>Matching results needed a clear compatibility score and explanatio</t>
  </si>
  <si>
    <t>Added compatibility scoring with matching skills, missing skills, and reasoning</t>
  </si>
  <si>
    <t>Retrieval and matching results needed to be validated</t>
  </si>
  <si>
    <t>Tested the retrieval and matching pipeline using sample student profiles</t>
  </si>
  <si>
    <t>Retrieval and matching agents needed to be integrated into the existing application</t>
  </si>
  <si>
    <t>Integrated the job retrieval and matching agents with the Flask application and completed end-to-end testing</t>
  </si>
  <si>
    <t>Sprint 3</t>
  </si>
  <si>
    <t>As a student, I want the system to analyze my skill gaps against a selected job so that I know which skills I need to improve.</t>
  </si>
  <si>
    <t>Candidate Profile and Selected Job</t>
  </si>
  <si>
    <t>US13</t>
  </si>
  <si>
    <t>US14</t>
  </si>
  <si>
    <t>As a student, I want to customize my resume and generate a role-specific cover letter so that I can apply for relevant opportunities.</t>
  </si>
  <si>
    <t>US15</t>
  </si>
  <si>
    <t>As a student, I want personalized interview preparation based on my profile and selected job so that I can prepare effectively for interviews.</t>
  </si>
  <si>
    <t>Candidate Profile and Skill Gap Analysis</t>
  </si>
  <si>
    <t>As a student, I want to practice through a mock interview so that I can improve my interview readiness.</t>
  </si>
  <si>
    <t>Interview Preparation</t>
  </si>
  <si>
    <t>US16</t>
  </si>
  <si>
    <t>As a student, I want to ask career-related questions conversationally so that I can receive personalized career guidance.</t>
  </si>
  <si>
    <t>US17</t>
  </si>
  <si>
    <t>Candidate Profile, Job Matching, Skill Gap and Interview Preparation</t>
  </si>
  <si>
    <t>Implement Skill Gap Analysis Agent and compare candidate skills with selected job requirements</t>
  </si>
  <si>
    <t>T18</t>
  </si>
  <si>
    <t>T19</t>
  </si>
  <si>
    <t>Implement Resume and Cover Letter Customization Agent</t>
  </si>
  <si>
    <t>Dharna Teja</t>
  </si>
  <si>
    <t>T20</t>
  </si>
  <si>
    <t>Implement Interview Preparation Agent with technical, resume, project, role-specific and HR questions</t>
  </si>
  <si>
    <t>T21</t>
  </si>
  <si>
    <t>Implement interactive Mock Interview workflow</t>
  </si>
  <si>
    <t>T22</t>
  </si>
  <si>
    <t>Implement Conversational Career Assistant and integrate career context</t>
  </si>
  <si>
    <t>T23</t>
  </si>
  <si>
    <t>Integrate conversation history and retrieved job information with Career Assistant</t>
  </si>
  <si>
    <t>US18</t>
  </si>
  <si>
    <t>T24</t>
  </si>
  <si>
    <t>Test and validate all Milestone 3 agents and workflows</t>
  </si>
  <si>
    <t>Skill gap analysis needed to compare the candidate profile with selected job requirements</t>
  </si>
  <si>
    <t>Implemented and integrated the Skill Gap Analysis Agent</t>
  </si>
  <si>
    <t>Resume and cover letter needed to be customized for selected roles</t>
  </si>
  <si>
    <t>Implemented the Resume &amp; Cover Letter Customization Agent</t>
  </si>
  <si>
    <t>Interview preparation needed to be more specific to the selected job</t>
  </si>
  <si>
    <t>Implemented the Interview Preparation Agent</t>
  </si>
  <si>
    <t>Interview practice workflow needed to be added</t>
  </si>
  <si>
    <t>Implemented and tested the Mock Interview feature</t>
  </si>
  <si>
    <t>Career Assistant needed to combine information from multiple agents</t>
  </si>
  <si>
    <t>Implemented the Conversational Career Assistant</t>
  </si>
  <si>
    <t>Career Assistant needed access to previous conversation context and retrieved job information</t>
  </si>
  <si>
    <t>Integrated conversation history and RAG/job retrieval context</t>
  </si>
  <si>
    <t>M3 components needed end-to-end validation</t>
  </si>
  <si>
    <t>Tested Skill Gap, Resume/Cover Letter, Interview Preparation, Mock Interview and Career Assistant workflows</t>
  </si>
  <si>
    <t>Validate agent outputs with different scenarios before final integration</t>
  </si>
  <si>
    <t>Making UI/code changes without checking the complete workflow</t>
  </si>
  <si>
    <t>Testing each agent individually and then testing the integrated system</t>
  </si>
  <si>
    <t>Implemented and tested the M3 agents, fixed integration/display issues, and validated the complete career-assistance workflow</t>
  </si>
  <si>
    <t>As a student, I want job postings to be embedded and indexed so that the system can perform semantic search.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</si>
</sst>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1009]d\-mmm\-yy;@"/>
  </numFmts>
  <fonts count="15" x14ac:knownFonts="1">
    <font>
      <sz val="10"/>
      <name val="Arial"/>
    </font>
    <font>
      <sz val="8"/>
      <name val="Arial"/>
      <family val="2"/>
    </font>
    <font>
      <b/>
      <sz val="8"/>
      <name val="Arial"/>
      <family val="2"/>
    </font>
    <font>
      <sz val="10"/>
      <name val="Arial"/>
      <family val="2"/>
    </font>
    <font>
      <b/>
      <sz val="8"/>
      <color indexed="9"/>
      <name val="Arial"/>
      <family val="2"/>
    </font>
    <font>
      <b/>
      <sz val="10"/>
      <name val="Arial"/>
      <family val="2"/>
    </font>
    <font>
      <sz val="9"/>
      <name val="Arial"/>
      <family val="2"/>
    </font>
    <font>
      <sz val="10"/>
      <name val="Arial"/>
      <family val="2"/>
    </font>
    <font>
      <sz val="11"/>
      <name val="Arial"/>
      <family val="2"/>
    </font>
    <font>
      <b/>
      <sz val="10"/>
      <name val="Arial"/>
    </font>
    <font>
      <sz val="8"/>
      <name val="Arial"/>
    </font>
    <font>
      <sz val="10"/>
      <color rgb="FF00B050"/>
      <name val="Arial"/>
      <family val="2"/>
    </font>
    <font>
      <sz val="10"/>
      <color rgb="FFFF0000"/>
      <name val="Arial"/>
      <family val="2"/>
    </font>
    <font>
      <b/>
      <sz val="8"/>
      <color theme="1"/>
      <name val="Arial"/>
      <family val="2"/>
    </font>
    <font>
      <b/>
      <sz val="12"/>
      <color theme="1"/>
      <name val="Arial"/>
      <family val="2"/>
    </font>
  </fonts>
  <fills count="9">
    <fill>
      <patternFill patternType="none"/>
    </fill>
    <fill>
      <patternFill patternType="gray125"/>
    </fill>
    <fill>
      <patternFill patternType="solid">
        <fgColor theme="6" tint="0.39997558519241921"/>
        <bgColor indexed="64"/>
      </patternFill>
    </fill>
    <fill>
      <patternFill patternType="solid">
        <fgColor theme="9" tint="0.39997558519241921"/>
        <bgColor indexed="64"/>
      </patternFill>
    </fill>
    <fill>
      <patternFill patternType="solid">
        <fgColor theme="8" tint="0.39997558519241921"/>
        <bgColor indexed="64"/>
      </patternFill>
    </fill>
    <fill>
      <patternFill patternType="solid">
        <fgColor theme="0" tint="-0.249977111117893"/>
        <bgColor indexed="64"/>
      </patternFill>
    </fill>
    <fill>
      <patternFill patternType="solid">
        <fgColor rgb="FFFFC000"/>
        <bgColor indexed="64"/>
      </patternFill>
    </fill>
    <fill>
      <patternFill patternType="solid">
        <fgColor rgb="FF92D050"/>
        <bgColor indexed="64"/>
      </patternFill>
    </fill>
    <fill>
      <patternFill patternType="solid">
        <fgColor theme="6" tint="0.79998168889431442"/>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style="thin">
        <color indexed="64"/>
      </bottom>
      <diagonal/>
    </border>
    <border>
      <left style="thin">
        <color indexed="64"/>
      </left>
      <right/>
      <top/>
      <bottom/>
      <diagonal/>
    </border>
    <border>
      <left/>
      <right/>
      <top/>
      <bottom style="thin">
        <color indexed="64"/>
      </bottom>
      <diagonal/>
    </border>
    <border>
      <left style="thin">
        <color indexed="64"/>
      </left>
      <right style="thin">
        <color indexed="64"/>
      </right>
      <top/>
      <bottom/>
      <diagonal/>
    </border>
    <border>
      <left/>
      <right style="thin">
        <color indexed="64"/>
      </right>
      <top style="thin">
        <color indexed="64"/>
      </top>
      <bottom/>
      <diagonal/>
    </border>
    <border>
      <left/>
      <right style="thin">
        <color indexed="64"/>
      </right>
      <top/>
      <bottom/>
      <diagonal/>
    </border>
    <border>
      <left/>
      <right style="medium">
        <color indexed="64"/>
      </right>
      <top style="thin">
        <color indexed="64"/>
      </top>
      <bottom/>
      <diagonal/>
    </border>
    <border>
      <left/>
      <right style="medium">
        <color indexed="64"/>
      </right>
      <top/>
      <bottom/>
      <diagonal/>
    </border>
    <border>
      <left/>
      <right/>
      <top style="thin">
        <color indexed="64"/>
      </top>
      <bottom style="thin">
        <color indexed="64"/>
      </bottom>
      <diagonal/>
    </border>
  </borders>
  <cellStyleXfs count="6">
    <xf numFmtId="0" fontId="0" fillId="0" borderId="0"/>
    <xf numFmtId="0" fontId="7" fillId="0" borderId="0"/>
    <xf numFmtId="0" fontId="7" fillId="0" borderId="0"/>
    <xf numFmtId="0" fontId="7" fillId="0" borderId="0"/>
    <xf numFmtId="0" fontId="7" fillId="0" borderId="0"/>
    <xf numFmtId="0" fontId="7" fillId="0" borderId="0"/>
  </cellStyleXfs>
  <cellXfs count="74">
    <xf numFmtId="0" fontId="0" fillId="0" borderId="0" xfId="0"/>
    <xf numFmtId="0" fontId="3" fillId="0" borderId="0" xfId="0" applyFont="1"/>
    <xf numFmtId="0" fontId="1" fillId="0" borderId="1" xfId="0" applyFont="1" applyBorder="1" applyAlignment="1">
      <alignment horizontal="center" vertical="center" wrapText="1"/>
    </xf>
    <xf numFmtId="0" fontId="3" fillId="0" borderId="0" xfId="0" applyFont="1" applyAlignment="1">
      <alignment horizontal="center" vertical="center" wrapText="1"/>
    </xf>
    <xf numFmtId="0" fontId="3" fillId="0" borderId="0" xfId="0" applyFont="1" applyAlignment="1">
      <alignment horizontal="center" vertical="center"/>
    </xf>
    <xf numFmtId="0" fontId="3" fillId="0" borderId="0" xfId="0" applyFont="1" applyAlignment="1">
      <alignment wrapText="1"/>
    </xf>
    <xf numFmtId="0" fontId="6" fillId="0" borderId="1" xfId="0" applyFont="1" applyBorder="1" applyAlignment="1">
      <alignment horizontal="center" vertical="center" wrapText="1"/>
    </xf>
    <xf numFmtId="0" fontId="3" fillId="0" borderId="1" xfId="0" applyFont="1" applyBorder="1" applyAlignment="1">
      <alignment horizontal="center" vertical="center"/>
    </xf>
    <xf numFmtId="0" fontId="3" fillId="0" borderId="1" xfId="0" applyFont="1" applyBorder="1" applyAlignment="1">
      <alignment horizontal="left" vertical="top" wrapText="1"/>
    </xf>
    <xf numFmtId="0" fontId="11" fillId="0" borderId="1" xfId="0" applyFont="1" applyBorder="1" applyAlignment="1">
      <alignment horizontal="left" vertical="top" wrapText="1"/>
    </xf>
    <xf numFmtId="0" fontId="12" fillId="0" borderId="1" xfId="0" applyFont="1" applyBorder="1" applyAlignment="1">
      <alignment horizontal="left" vertical="top" wrapText="1"/>
    </xf>
    <xf numFmtId="0" fontId="3" fillId="0" borderId="1" xfId="0" applyFont="1" applyBorder="1"/>
    <xf numFmtId="0" fontId="6" fillId="0" borderId="1" xfId="0" applyFont="1" applyBorder="1" applyAlignment="1">
      <alignment vertical="center" wrapText="1"/>
    </xf>
    <xf numFmtId="0" fontId="5" fillId="0" borderId="0" xfId="0" applyFont="1"/>
    <xf numFmtId="0" fontId="3" fillId="0" borderId="1" xfId="0" applyFont="1" applyBorder="1" applyAlignment="1">
      <alignment vertical="center" wrapText="1"/>
    </xf>
    <xf numFmtId="0" fontId="0" fillId="0" borderId="1" xfId="0" applyBorder="1"/>
    <xf numFmtId="0" fontId="1" fillId="0" borderId="0" xfId="0" applyFont="1" applyProtection="1">
      <protection locked="0"/>
    </xf>
    <xf numFmtId="0" fontId="4" fillId="0" borderId="0" xfId="0" applyFont="1" applyAlignment="1" applyProtection="1">
      <alignment horizontal="center" vertical="center" wrapText="1"/>
      <protection locked="0"/>
    </xf>
    <xf numFmtId="15" fontId="3" fillId="0" borderId="2" xfId="0" applyNumberFormat="1" applyFont="1" applyBorder="1" applyAlignment="1" applyProtection="1">
      <alignment horizontal="center" vertical="center" wrapText="1"/>
      <protection locked="0"/>
    </xf>
    <xf numFmtId="0" fontId="3" fillId="0" borderId="3" xfId="0" applyFont="1" applyBorder="1" applyAlignment="1" applyProtection="1">
      <alignment horizontal="center" vertical="center" wrapText="1"/>
      <protection locked="0"/>
    </xf>
    <xf numFmtId="0" fontId="6" fillId="0" borderId="1" xfId="0" applyFont="1" applyBorder="1" applyAlignment="1" applyProtection="1">
      <alignment horizontal="center" vertical="center" wrapText="1"/>
      <protection locked="0"/>
    </xf>
    <xf numFmtId="0" fontId="3" fillId="0" borderId="3" xfId="2" applyFont="1" applyBorder="1" applyAlignment="1" applyProtection="1">
      <alignment horizontal="center" vertical="center"/>
      <protection locked="0"/>
    </xf>
    <xf numFmtId="0" fontId="3" fillId="0" borderId="4" xfId="0" applyFont="1" applyBorder="1" applyAlignment="1" applyProtection="1">
      <alignment horizontal="center" vertical="center" wrapText="1"/>
      <protection locked="0"/>
    </xf>
    <xf numFmtId="0" fontId="3" fillId="0" borderId="1" xfId="2" applyFont="1" applyBorder="1" applyAlignment="1" applyProtection="1">
      <alignment horizontal="center" vertical="center"/>
      <protection locked="0"/>
    </xf>
    <xf numFmtId="0" fontId="3" fillId="0" borderId="1" xfId="0" applyFont="1" applyBorder="1" applyAlignment="1" applyProtection="1">
      <alignment wrapText="1"/>
      <protection locked="0"/>
    </xf>
    <xf numFmtId="0" fontId="3" fillId="0" borderId="0" xfId="0" applyFont="1" applyAlignment="1" applyProtection="1">
      <alignment horizontal="center" vertical="center"/>
      <protection locked="0"/>
    </xf>
    <xf numFmtId="0" fontId="3" fillId="0" borderId="5" xfId="0" applyFont="1" applyBorder="1" applyAlignment="1" applyProtection="1">
      <alignment horizontal="center" vertical="center" wrapText="1"/>
      <protection locked="0"/>
    </xf>
    <xf numFmtId="0" fontId="3" fillId="0" borderId="5" xfId="0" applyFont="1" applyBorder="1" applyAlignment="1" applyProtection="1">
      <alignment wrapText="1"/>
      <protection locked="0"/>
    </xf>
    <xf numFmtId="15" fontId="3" fillId="0" borderId="0" xfId="0" applyNumberFormat="1" applyFont="1" applyAlignment="1" applyProtection="1">
      <alignment horizontal="center" vertical="center" wrapText="1"/>
      <protection locked="0"/>
    </xf>
    <xf numFmtId="15" fontId="3" fillId="0" borderId="5" xfId="0" applyNumberFormat="1" applyFont="1" applyBorder="1" applyAlignment="1" applyProtection="1">
      <alignment horizontal="center" vertical="center" wrapText="1"/>
      <protection locked="0"/>
    </xf>
    <xf numFmtId="0" fontId="3" fillId="0" borderId="5" xfId="2" applyFont="1" applyBorder="1" applyAlignment="1" applyProtection="1">
      <alignment horizontal="center" vertical="center"/>
      <protection locked="0"/>
    </xf>
    <xf numFmtId="0" fontId="1" fillId="0" borderId="0" xfId="0" applyFont="1" applyAlignment="1" applyProtection="1">
      <alignment horizontal="right" wrapText="1"/>
      <protection locked="0"/>
    </xf>
    <xf numFmtId="0" fontId="1" fillId="0" borderId="0" xfId="0" applyFont="1" applyAlignment="1" applyProtection="1">
      <alignment vertical="top" wrapText="1"/>
      <protection locked="0"/>
    </xf>
    <xf numFmtId="0" fontId="1" fillId="0" borderId="0" xfId="0" applyFont="1" applyAlignment="1" applyProtection="1">
      <alignment horizontal="center" vertical="center" wrapText="1"/>
      <protection locked="0"/>
    </xf>
    <xf numFmtId="164" fontId="1" fillId="0" borderId="0" xfId="0" applyNumberFormat="1" applyFont="1" applyAlignment="1" applyProtection="1">
      <alignment wrapText="1"/>
      <protection locked="0"/>
    </xf>
    <xf numFmtId="0" fontId="1" fillId="0" borderId="0" xfId="0" applyFont="1" applyAlignment="1" applyProtection="1">
      <alignment wrapText="1"/>
      <protection locked="0"/>
    </xf>
    <xf numFmtId="0" fontId="2" fillId="2" borderId="1" xfId="0" applyFont="1" applyFill="1" applyBorder="1" applyAlignment="1">
      <alignment horizontal="center" vertical="center" wrapText="1"/>
    </xf>
    <xf numFmtId="0" fontId="13" fillId="3" borderId="1" xfId="0" applyFont="1" applyFill="1" applyBorder="1" applyAlignment="1">
      <alignment horizontal="center" vertical="center" textRotation="90" wrapText="1"/>
    </xf>
    <xf numFmtId="0" fontId="13" fillId="3" borderId="6" xfId="0" applyFont="1" applyFill="1" applyBorder="1" applyAlignment="1">
      <alignment horizontal="center" vertical="center" wrapText="1"/>
    </xf>
    <xf numFmtId="0" fontId="5" fillId="4" borderId="1" xfId="0" applyFont="1" applyFill="1" applyBorder="1" applyAlignment="1">
      <alignment horizontal="center" vertical="center" wrapText="1"/>
    </xf>
    <xf numFmtId="0" fontId="13" fillId="5" borderId="7" xfId="0" applyFont="1" applyFill="1" applyBorder="1" applyAlignment="1">
      <alignment horizontal="center" vertical="center" wrapText="1"/>
    </xf>
    <xf numFmtId="0" fontId="13" fillId="5" borderId="1" xfId="0" applyFont="1" applyFill="1" applyBorder="1" applyAlignment="1">
      <alignment horizontal="center" vertical="center" wrapText="1"/>
    </xf>
    <xf numFmtId="164" fontId="1" fillId="0" borderId="3" xfId="0" applyNumberFormat="1" applyFont="1" applyBorder="1" applyAlignment="1" applyProtection="1">
      <alignment horizontal="center" vertical="center" wrapText="1"/>
      <protection locked="0"/>
    </xf>
    <xf numFmtId="0" fontId="3" fillId="6" borderId="8" xfId="0" applyFont="1" applyFill="1" applyBorder="1" applyAlignment="1">
      <alignment vertical="center"/>
    </xf>
    <xf numFmtId="0" fontId="3" fillId="6" borderId="0" xfId="0" applyFont="1" applyFill="1" applyAlignment="1">
      <alignment vertical="center"/>
    </xf>
    <xf numFmtId="0" fontId="3" fillId="6" borderId="9" xfId="0" applyFont="1" applyFill="1" applyBorder="1" applyAlignment="1">
      <alignment vertical="center"/>
    </xf>
    <xf numFmtId="0" fontId="13" fillId="7" borderId="6" xfId="0" applyFont="1" applyFill="1" applyBorder="1" applyAlignment="1">
      <alignment horizontal="center" vertical="center" wrapText="1"/>
    </xf>
    <xf numFmtId="0" fontId="8" fillId="0" borderId="1" xfId="0" applyFont="1" applyBorder="1" applyAlignment="1">
      <alignment horizontal="center" vertical="center" wrapText="1"/>
    </xf>
    <xf numFmtId="0" fontId="8" fillId="0" borderId="1" xfId="0" applyFont="1" applyBorder="1"/>
    <xf numFmtId="0" fontId="8" fillId="0" borderId="10" xfId="0" applyFont="1" applyBorder="1" applyAlignment="1">
      <alignment horizontal="left" vertical="center"/>
    </xf>
    <xf numFmtId="0" fontId="3" fillId="0" borderId="1" xfId="0" applyFont="1" applyBorder="1" applyAlignment="1" applyProtection="1">
      <alignment vertical="center"/>
      <protection locked="0"/>
    </xf>
    <xf numFmtId="0" fontId="0" fillId="0" borderId="0" xfId="0" applyAlignment="1">
      <alignment vertical="center" wrapText="1"/>
    </xf>
    <xf numFmtId="0" fontId="9" fillId="0" borderId="0" xfId="0" applyFont="1" applyAlignment="1">
      <alignment vertical="center" wrapText="1"/>
    </xf>
    <xf numFmtId="0" fontId="8" fillId="0" borderId="1" xfId="0" applyFont="1" applyBorder="1" applyAlignment="1">
      <alignment horizontal="left" vertical="center" wrapText="1"/>
    </xf>
    <xf numFmtId="0" fontId="0" fillId="0" borderId="0" xfId="0" applyAlignment="1">
      <alignment wrapText="1"/>
    </xf>
    <xf numFmtId="0" fontId="0" fillId="0" borderId="0" xfId="0" applyProtection="1">
      <protection locked="0"/>
    </xf>
    <xf numFmtId="0" fontId="0" fillId="0" borderId="0" xfId="0" applyAlignment="1" applyProtection="1">
      <alignment wrapText="1"/>
      <protection locked="0"/>
    </xf>
    <xf numFmtId="15" fontId="0" fillId="0" borderId="0" xfId="0" applyNumberFormat="1" applyProtection="1">
      <protection locked="0"/>
    </xf>
    <xf numFmtId="15" fontId="3" fillId="0" borderId="3" xfId="0" applyNumberFormat="1" applyFont="1" applyBorder="1" applyAlignment="1" applyProtection="1">
      <alignment horizontal="center" vertical="center" wrapText="1"/>
      <protection locked="0"/>
    </xf>
    <xf numFmtId="0" fontId="0" fillId="0" borderId="0" xfId="0" applyAlignment="1" applyProtection="1">
      <alignment vertical="center" wrapText="1"/>
      <protection locked="0"/>
    </xf>
    <xf numFmtId="15" fontId="0" fillId="0" borderId="0" xfId="0" applyNumberFormat="1"/>
    <xf numFmtId="15" fontId="0" fillId="0" borderId="0" xfId="0" applyNumberFormat="1" applyAlignment="1">
      <alignment vertical="center" wrapText="1"/>
    </xf>
    <xf numFmtId="0" fontId="14" fillId="8" borderId="1" xfId="0" applyFont="1" applyFill="1" applyBorder="1" applyAlignment="1">
      <alignment horizontal="center" vertical="center" wrapText="1"/>
    </xf>
    <xf numFmtId="0" fontId="0" fillId="0" borderId="15" xfId="0" applyBorder="1"/>
    <xf numFmtId="0" fontId="0" fillId="0" borderId="4" xfId="0" applyBorder="1"/>
    <xf numFmtId="0" fontId="13" fillId="5" borderId="6" xfId="0" applyFont="1" applyFill="1" applyBorder="1" applyAlignment="1">
      <alignment horizontal="center" vertical="center" wrapText="1"/>
    </xf>
    <xf numFmtId="0" fontId="0" fillId="0" borderId="10" xfId="0" applyBorder="1"/>
    <xf numFmtId="0" fontId="13" fillId="5" borderId="11" xfId="0" applyFont="1" applyFill="1" applyBorder="1" applyAlignment="1">
      <alignment horizontal="center" vertical="center" wrapText="1"/>
    </xf>
    <xf numFmtId="0" fontId="0" fillId="0" borderId="12" xfId="0" applyBorder="1"/>
    <xf numFmtId="49" fontId="13" fillId="5" borderId="13" xfId="0" applyNumberFormat="1" applyFont="1" applyFill="1" applyBorder="1" applyAlignment="1">
      <alignment horizontal="center" vertical="center" wrapText="1"/>
    </xf>
    <xf numFmtId="0" fontId="0" fillId="0" borderId="14" xfId="0" applyBorder="1"/>
    <xf numFmtId="164" fontId="13" fillId="5" borderId="6" xfId="0" applyNumberFormat="1" applyFont="1" applyFill="1" applyBorder="1" applyAlignment="1">
      <alignment horizontal="center" vertical="center" wrapText="1"/>
    </xf>
    <xf numFmtId="0" fontId="0" fillId="0" borderId="0" xfId="0" applyAlignment="1"/>
    <xf numFmtId="15" fontId="3" fillId="0" borderId="1" xfId="0" applyNumberFormat="1" applyFont="1" applyBorder="1" applyAlignment="1">
      <alignment horizontal="center" vertical="center"/>
    </xf>
  </cellXfs>
  <cellStyles count="6">
    <cellStyle name="Jun" xfId="1" xr:uid="{00000000-0005-0000-0000-000001000000}"/>
    <cellStyle name="Normal" xfId="0" builtinId="0"/>
    <cellStyle name="Normal 2" xfId="2" xr:uid="{00000000-0005-0000-0000-000002000000}"/>
    <cellStyle name="Normal 3" xfId="3" xr:uid="{00000000-0005-0000-0000-000003000000}"/>
    <cellStyle name="Normal 3 2" xfId="4" xr:uid="{00000000-0005-0000-0000-000004000000}"/>
    <cellStyle name="Normal 4 2" xfId="5" xr:uid="{00000000-0005-0000-0000-000005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H50"/>
  <sheetViews>
    <sheetView tabSelected="1" topLeftCell="A4" zoomScale="90" zoomScaleNormal="90" workbookViewId="0">
      <selection activeCell="I11" sqref="I11"/>
    </sheetView>
  </sheetViews>
  <sheetFormatPr defaultRowHeight="13.2" x14ac:dyDescent="0.25"/>
  <cols>
    <col min="2" max="2" width="12.44140625" customWidth="1"/>
    <col min="4" max="4" width="82.88671875" customWidth="1"/>
    <col min="5" max="5" width="15.5546875" customWidth="1"/>
    <col min="6" max="6" width="15.109375" customWidth="1"/>
    <col min="7" max="7" width="14.109375" customWidth="1"/>
    <col min="8" max="8" width="20.44140625" customWidth="1"/>
  </cols>
  <sheetData>
    <row r="1" spans="1:8" ht="75.75" customHeight="1" x14ac:dyDescent="0.25">
      <c r="A1" s="37" t="s">
        <v>20</v>
      </c>
      <c r="B1" s="37" t="s">
        <v>21</v>
      </c>
      <c r="C1" s="38" t="s">
        <v>22</v>
      </c>
      <c r="D1" s="38" t="s">
        <v>23</v>
      </c>
      <c r="E1" s="38" t="s">
        <v>24</v>
      </c>
      <c r="F1" s="38" t="s">
        <v>25</v>
      </c>
      <c r="G1" s="38" t="s">
        <v>26</v>
      </c>
      <c r="H1" s="38" t="s">
        <v>27</v>
      </c>
    </row>
    <row r="2" spans="1:8" ht="37.5" customHeight="1" x14ac:dyDescent="0.25">
      <c r="A2" t="s">
        <v>9</v>
      </c>
      <c r="B2" t="s">
        <v>9</v>
      </c>
      <c r="C2" s="48" t="s">
        <v>28</v>
      </c>
      <c r="D2" s="49" t="s">
        <v>29</v>
      </c>
      <c r="E2" s="47" t="s">
        <v>30</v>
      </c>
      <c r="F2" s="47" t="s">
        <v>31</v>
      </c>
      <c r="G2" s="47" t="s">
        <v>10</v>
      </c>
      <c r="H2" s="47" t="s">
        <v>32</v>
      </c>
    </row>
    <row r="3" spans="1:8" ht="33.75" customHeight="1" x14ac:dyDescent="0.25">
      <c r="A3" s="52" t="s">
        <v>9</v>
      </c>
      <c r="B3" s="51" t="s">
        <v>33</v>
      </c>
      <c r="C3" s="48" t="s">
        <v>34</v>
      </c>
      <c r="D3" s="53" t="s">
        <v>35</v>
      </c>
      <c r="E3" s="47" t="s">
        <v>30</v>
      </c>
      <c r="F3" s="47" t="s">
        <v>36</v>
      </c>
      <c r="G3" s="47" t="s">
        <v>10</v>
      </c>
      <c r="H3" s="47" t="s">
        <v>32</v>
      </c>
    </row>
    <row r="4" spans="1:8" ht="27.75" customHeight="1" x14ac:dyDescent="0.25">
      <c r="A4" s="52" t="s">
        <v>9</v>
      </c>
      <c r="B4" s="51" t="s">
        <v>37</v>
      </c>
      <c r="C4" s="48" t="s">
        <v>38</v>
      </c>
      <c r="D4" s="53" t="s">
        <v>39</v>
      </c>
      <c r="E4" s="47" t="s">
        <v>30</v>
      </c>
      <c r="F4" s="47" t="s">
        <v>40</v>
      </c>
      <c r="G4" s="47" t="s">
        <v>10</v>
      </c>
      <c r="H4" s="47" t="s">
        <v>32</v>
      </c>
    </row>
    <row r="5" spans="1:8" ht="29.25" customHeight="1" x14ac:dyDescent="0.25">
      <c r="A5" s="52" t="s">
        <v>9</v>
      </c>
      <c r="B5" s="51" t="s">
        <v>41</v>
      </c>
      <c r="C5" s="48" t="s">
        <v>42</v>
      </c>
      <c r="D5" s="54" t="s">
        <v>43</v>
      </c>
      <c r="E5" s="47" t="s">
        <v>30</v>
      </c>
      <c r="F5" s="47" t="s">
        <v>44</v>
      </c>
      <c r="G5" s="47" t="s">
        <v>10</v>
      </c>
      <c r="H5" s="47" t="s">
        <v>32</v>
      </c>
    </row>
    <row r="6" spans="1:8" ht="39.6" customHeight="1" x14ac:dyDescent="0.25">
      <c r="A6" s="52" t="s">
        <v>9</v>
      </c>
      <c r="B6" s="51" t="s">
        <v>9</v>
      </c>
      <c r="C6" s="48" t="s">
        <v>45</v>
      </c>
      <c r="D6" s="54" t="s">
        <v>46</v>
      </c>
      <c r="E6" s="47" t="s">
        <v>30</v>
      </c>
      <c r="F6" s="54" t="s">
        <v>47</v>
      </c>
      <c r="G6" s="47" t="s">
        <v>10</v>
      </c>
      <c r="H6" s="47" t="s">
        <v>32</v>
      </c>
    </row>
    <row r="7" spans="1:8" ht="41.4" customHeight="1" x14ac:dyDescent="0.25">
      <c r="A7" s="52" t="s">
        <v>9</v>
      </c>
      <c r="B7" s="51" t="s">
        <v>48</v>
      </c>
      <c r="C7" s="48" t="s">
        <v>49</v>
      </c>
      <c r="D7" s="54" t="s">
        <v>50</v>
      </c>
      <c r="E7" s="47" t="s">
        <v>30</v>
      </c>
      <c r="F7" s="47" t="s">
        <v>51</v>
      </c>
      <c r="G7" s="47" t="s">
        <v>10</v>
      </c>
      <c r="H7" s="47" t="s">
        <v>32</v>
      </c>
    </row>
    <row r="8" spans="1:8" ht="39.6" customHeight="1" x14ac:dyDescent="0.25">
      <c r="A8" s="52" t="s">
        <v>9</v>
      </c>
      <c r="B8" s="51" t="s">
        <v>9</v>
      </c>
      <c r="C8" s="48" t="s">
        <v>52</v>
      </c>
      <c r="D8" s="54" t="s">
        <v>53</v>
      </c>
      <c r="E8" s="47" t="s">
        <v>30</v>
      </c>
      <c r="F8" s="47" t="s">
        <v>54</v>
      </c>
      <c r="G8" s="47" t="s">
        <v>10</v>
      </c>
      <c r="H8" s="47" t="s">
        <v>32</v>
      </c>
    </row>
    <row r="9" spans="1:8" ht="26.4" customHeight="1" x14ac:dyDescent="0.25">
      <c r="A9" s="52" t="s">
        <v>55</v>
      </c>
      <c r="B9" s="51" t="s">
        <v>56</v>
      </c>
      <c r="C9" s="48" t="s">
        <v>57</v>
      </c>
      <c r="D9" s="54" t="s">
        <v>58</v>
      </c>
      <c r="E9" s="47" t="s">
        <v>30</v>
      </c>
      <c r="F9" s="47" t="s">
        <v>59</v>
      </c>
      <c r="G9" s="47" t="s">
        <v>10</v>
      </c>
      <c r="H9" s="47" t="s">
        <v>32</v>
      </c>
    </row>
    <row r="10" spans="1:8" ht="26.4" customHeight="1" x14ac:dyDescent="0.25">
      <c r="A10" s="52" t="s">
        <v>60</v>
      </c>
      <c r="B10" s="51" t="s">
        <v>15</v>
      </c>
      <c r="C10" s="48" t="s">
        <v>61</v>
      </c>
      <c r="D10" s="54" t="s">
        <v>62</v>
      </c>
      <c r="E10" s="47" t="s">
        <v>30</v>
      </c>
      <c r="F10" s="54" t="s">
        <v>63</v>
      </c>
      <c r="G10" s="47" t="s">
        <v>10</v>
      </c>
      <c r="H10" s="47" t="s">
        <v>32</v>
      </c>
    </row>
    <row r="11" spans="1:8" ht="55.2" customHeight="1" x14ac:dyDescent="0.25">
      <c r="A11" s="47" t="s">
        <v>15</v>
      </c>
      <c r="B11" s="47" t="s">
        <v>15</v>
      </c>
      <c r="C11" s="48" t="s">
        <v>64</v>
      </c>
      <c r="D11" s="54" t="s">
        <v>247</v>
      </c>
      <c r="E11" s="47" t="s">
        <v>30</v>
      </c>
      <c r="F11" s="47" t="s">
        <v>65</v>
      </c>
      <c r="G11" s="47" t="s">
        <v>10</v>
      </c>
      <c r="H11" s="47" t="s">
        <v>32</v>
      </c>
    </row>
    <row r="12" spans="1:8" ht="27.6" customHeight="1" x14ac:dyDescent="0.25">
      <c r="A12" s="47" t="s">
        <v>15</v>
      </c>
      <c r="B12" s="47" t="s">
        <v>15</v>
      </c>
      <c r="C12" s="48" t="s">
        <v>66</v>
      </c>
      <c r="D12" s="54" t="s">
        <v>67</v>
      </c>
      <c r="E12" s="47" t="s">
        <v>30</v>
      </c>
      <c r="F12" s="47" t="s">
        <v>68</v>
      </c>
      <c r="G12" s="47" t="s">
        <v>10</v>
      </c>
      <c r="H12" s="47" t="s">
        <v>32</v>
      </c>
    </row>
    <row r="13" spans="1:8" ht="27.6" customHeight="1" x14ac:dyDescent="0.25">
      <c r="A13" s="47" t="s">
        <v>15</v>
      </c>
      <c r="B13" s="47" t="s">
        <v>15</v>
      </c>
      <c r="C13" s="48" t="s">
        <v>69</v>
      </c>
      <c r="D13" s="54" t="s">
        <v>70</v>
      </c>
      <c r="E13" s="47" t="s">
        <v>30</v>
      </c>
      <c r="F13" s="47" t="s">
        <v>71</v>
      </c>
      <c r="G13" s="47" t="s">
        <v>10</v>
      </c>
      <c r="H13" s="47" t="s">
        <v>32</v>
      </c>
    </row>
    <row r="14" spans="1:8" ht="13.8" customHeight="1" x14ac:dyDescent="0.25">
      <c r="A14" t="s">
        <v>198</v>
      </c>
      <c r="B14" t="s">
        <v>198</v>
      </c>
      <c r="C14" t="s">
        <v>201</v>
      </c>
      <c r="D14" s="54" t="s">
        <v>199</v>
      </c>
      <c r="E14" t="s">
        <v>30</v>
      </c>
      <c r="F14" s="54" t="s">
        <v>200</v>
      </c>
      <c r="G14" s="47" t="s">
        <v>10</v>
      </c>
      <c r="H14" s="47" t="s">
        <v>32</v>
      </c>
    </row>
    <row r="15" spans="1:8" ht="13.8" customHeight="1" x14ac:dyDescent="0.25">
      <c r="A15" t="s">
        <v>198</v>
      </c>
      <c r="B15" t="s">
        <v>198</v>
      </c>
      <c r="C15" t="s">
        <v>202</v>
      </c>
      <c r="D15" s="54" t="s">
        <v>203</v>
      </c>
      <c r="E15" t="s">
        <v>30</v>
      </c>
      <c r="F15" s="54" t="s">
        <v>200</v>
      </c>
      <c r="G15" s="47" t="s">
        <v>10</v>
      </c>
      <c r="H15" s="47" t="s">
        <v>32</v>
      </c>
    </row>
    <row r="16" spans="1:8" ht="13.8" customHeight="1" x14ac:dyDescent="0.25">
      <c r="A16" t="s">
        <v>198</v>
      </c>
      <c r="B16" t="s">
        <v>198</v>
      </c>
      <c r="C16" t="s">
        <v>204</v>
      </c>
      <c r="D16" s="72" t="s">
        <v>205</v>
      </c>
      <c r="E16" t="s">
        <v>30</v>
      </c>
      <c r="F16" s="51" t="s">
        <v>206</v>
      </c>
      <c r="G16" s="47" t="s">
        <v>10</v>
      </c>
      <c r="H16" s="47" t="s">
        <v>32</v>
      </c>
    </row>
    <row r="17" spans="1:8" ht="26.4" x14ac:dyDescent="0.25">
      <c r="A17" t="s">
        <v>198</v>
      </c>
      <c r="B17" t="s">
        <v>198</v>
      </c>
      <c r="C17" t="s">
        <v>209</v>
      </c>
      <c r="D17" s="51" t="s">
        <v>207</v>
      </c>
      <c r="E17" t="s">
        <v>30</v>
      </c>
      <c r="F17" s="51" t="s">
        <v>208</v>
      </c>
      <c r="G17" s="47" t="s">
        <v>10</v>
      </c>
      <c r="H17" s="47" t="s">
        <v>32</v>
      </c>
    </row>
    <row r="18" spans="1:8" ht="79.2" x14ac:dyDescent="0.25">
      <c r="A18" t="s">
        <v>198</v>
      </c>
      <c r="B18" t="s">
        <v>198</v>
      </c>
      <c r="C18" t="s">
        <v>211</v>
      </c>
      <c r="D18" s="54" t="s">
        <v>210</v>
      </c>
      <c r="E18" t="s">
        <v>30</v>
      </c>
      <c r="F18" s="54" t="s">
        <v>212</v>
      </c>
      <c r="G18" s="47" t="s">
        <v>10</v>
      </c>
      <c r="H18" s="47" t="s">
        <v>32</v>
      </c>
    </row>
    <row r="19" spans="1:8" x14ac:dyDescent="0.25">
      <c r="A19" s="2"/>
      <c r="B19" s="2"/>
      <c r="C19" s="15"/>
      <c r="D19" s="12"/>
      <c r="E19" s="6"/>
      <c r="F19" s="6"/>
      <c r="G19" s="6"/>
      <c r="H19" s="6"/>
    </row>
    <row r="20" spans="1:8" x14ac:dyDescent="0.25">
      <c r="A20" s="2"/>
      <c r="B20" s="2"/>
      <c r="C20" s="15"/>
      <c r="D20" s="12"/>
      <c r="E20" s="6"/>
      <c r="F20" s="6"/>
      <c r="G20" s="6"/>
      <c r="H20" s="6"/>
    </row>
    <row r="21" spans="1:8" x14ac:dyDescent="0.25">
      <c r="A21" s="2"/>
      <c r="B21" s="2"/>
      <c r="C21" s="15"/>
      <c r="D21" s="12"/>
      <c r="E21" s="6"/>
      <c r="F21" s="6"/>
      <c r="G21" s="6"/>
      <c r="H21" s="6"/>
    </row>
    <row r="22" spans="1:8" x14ac:dyDescent="0.25">
      <c r="A22" s="2"/>
      <c r="B22" s="2"/>
      <c r="C22" s="15"/>
      <c r="D22" s="14"/>
      <c r="E22" s="6"/>
      <c r="F22" s="6"/>
      <c r="G22" s="6"/>
      <c r="H22" s="6"/>
    </row>
    <row r="23" spans="1:8" x14ac:dyDescent="0.25">
      <c r="A23" s="2"/>
      <c r="B23" s="2"/>
      <c r="C23" s="15"/>
      <c r="D23" s="12"/>
      <c r="E23" s="6"/>
      <c r="F23" s="6"/>
      <c r="G23" s="6"/>
      <c r="H23" s="6"/>
    </row>
    <row r="24" spans="1:8" x14ac:dyDescent="0.25">
      <c r="A24" s="2"/>
      <c r="B24" s="2"/>
      <c r="C24" s="15"/>
      <c r="D24" s="12"/>
      <c r="E24" s="6"/>
      <c r="F24" s="6"/>
      <c r="G24" s="6"/>
      <c r="H24" s="6"/>
    </row>
    <row r="25" spans="1:8" x14ac:dyDescent="0.25">
      <c r="A25" s="2"/>
      <c r="B25" s="2"/>
      <c r="C25" s="15"/>
      <c r="D25" s="12"/>
      <c r="E25" s="6"/>
      <c r="F25" s="6"/>
      <c r="G25" s="6"/>
      <c r="H25" s="6"/>
    </row>
    <row r="26" spans="1:8" x14ac:dyDescent="0.25">
      <c r="A26" s="2"/>
      <c r="B26" s="2"/>
      <c r="C26" s="15"/>
      <c r="D26" s="14"/>
      <c r="E26" s="6"/>
      <c r="F26" s="6"/>
      <c r="G26" s="6"/>
      <c r="H26" s="6"/>
    </row>
    <row r="27" spans="1:8" x14ac:dyDescent="0.25">
      <c r="A27" s="2"/>
      <c r="B27" s="2"/>
      <c r="C27" s="15"/>
      <c r="D27" s="12"/>
      <c r="E27" s="6"/>
      <c r="F27" s="6"/>
      <c r="G27" s="6"/>
      <c r="H27" s="6"/>
    </row>
    <row r="28" spans="1:8" x14ac:dyDescent="0.25">
      <c r="A28" s="2"/>
      <c r="B28" s="2"/>
      <c r="C28" s="15"/>
      <c r="D28" s="12"/>
      <c r="E28" s="6"/>
      <c r="F28" s="6"/>
      <c r="G28" s="6"/>
      <c r="H28" s="6"/>
    </row>
    <row r="29" spans="1:8" x14ac:dyDescent="0.25">
      <c r="A29" s="2"/>
      <c r="B29" s="2"/>
      <c r="C29" s="15"/>
      <c r="D29" s="12"/>
      <c r="E29" s="6"/>
      <c r="F29" s="6"/>
      <c r="G29" s="6"/>
      <c r="H29" s="6"/>
    </row>
    <row r="30" spans="1:8" x14ac:dyDescent="0.25">
      <c r="A30" s="2"/>
      <c r="B30" s="2"/>
      <c r="C30" s="15"/>
      <c r="D30" s="14"/>
      <c r="E30" s="6"/>
      <c r="F30" s="6"/>
      <c r="G30" s="6"/>
      <c r="H30" s="6"/>
    </row>
    <row r="31" spans="1:8" x14ac:dyDescent="0.25">
      <c r="A31" s="2"/>
      <c r="B31" s="2"/>
      <c r="C31" s="15"/>
      <c r="D31" s="12"/>
      <c r="E31" s="6"/>
      <c r="F31" s="6"/>
      <c r="G31" s="6"/>
      <c r="H31" s="6"/>
    </row>
    <row r="32" spans="1:8" x14ac:dyDescent="0.25">
      <c r="A32" s="2"/>
      <c r="B32" s="2"/>
      <c r="C32" s="15"/>
      <c r="D32" s="12"/>
      <c r="E32" s="6"/>
      <c r="F32" s="6"/>
      <c r="G32" s="6"/>
      <c r="H32" s="6"/>
    </row>
    <row r="33" spans="1:8" x14ac:dyDescent="0.25">
      <c r="A33" s="2"/>
      <c r="B33" s="2"/>
      <c r="C33" s="15"/>
      <c r="D33" s="12"/>
      <c r="E33" s="6"/>
      <c r="F33" s="6"/>
      <c r="G33" s="6"/>
      <c r="H33" s="6"/>
    </row>
    <row r="34" spans="1:8" x14ac:dyDescent="0.25">
      <c r="A34" s="2"/>
      <c r="B34" s="2"/>
      <c r="C34" s="15"/>
      <c r="D34" s="14"/>
      <c r="E34" s="6"/>
      <c r="F34" s="6"/>
      <c r="G34" s="6"/>
      <c r="H34" s="6"/>
    </row>
    <row r="35" spans="1:8" x14ac:dyDescent="0.25">
      <c r="A35" s="2"/>
      <c r="B35" s="2"/>
      <c r="C35" s="15"/>
      <c r="D35" s="12"/>
      <c r="E35" s="6"/>
      <c r="F35" s="6"/>
      <c r="G35" s="6"/>
      <c r="H35" s="6"/>
    </row>
    <row r="36" spans="1:8" x14ac:dyDescent="0.25">
      <c r="A36" s="2"/>
      <c r="B36" s="2"/>
      <c r="C36" s="15"/>
      <c r="D36" s="12"/>
      <c r="E36" s="6"/>
      <c r="F36" s="6"/>
      <c r="G36" s="6"/>
      <c r="H36" s="6"/>
    </row>
    <row r="37" spans="1:8" x14ac:dyDescent="0.25">
      <c r="A37" s="2"/>
      <c r="B37" s="2"/>
      <c r="C37" s="15"/>
      <c r="D37" s="12"/>
      <c r="E37" s="6"/>
      <c r="F37" s="6"/>
      <c r="G37" s="6"/>
      <c r="H37" s="6"/>
    </row>
    <row r="38" spans="1:8" x14ac:dyDescent="0.25">
      <c r="A38" s="2"/>
      <c r="B38" s="2"/>
      <c r="C38" s="15"/>
      <c r="D38" s="14"/>
      <c r="E38" s="6"/>
      <c r="F38" s="6"/>
      <c r="G38" s="6"/>
      <c r="H38" s="6"/>
    </row>
    <row r="39" spans="1:8" x14ac:dyDescent="0.25">
      <c r="A39" s="2"/>
      <c r="B39" s="2"/>
      <c r="C39" s="15"/>
      <c r="D39" s="12"/>
      <c r="E39" s="6"/>
      <c r="F39" s="6"/>
      <c r="G39" s="6"/>
      <c r="H39" s="6"/>
    </row>
    <row r="40" spans="1:8" x14ac:dyDescent="0.25">
      <c r="A40" s="2"/>
      <c r="B40" s="2"/>
      <c r="C40" s="15"/>
      <c r="D40" s="12"/>
      <c r="E40" s="6"/>
      <c r="F40" s="6"/>
      <c r="G40" s="6"/>
      <c r="H40" s="6"/>
    </row>
    <row r="41" spans="1:8" x14ac:dyDescent="0.25">
      <c r="A41" s="2"/>
      <c r="B41" s="2"/>
      <c r="C41" s="15"/>
      <c r="D41" s="12"/>
      <c r="E41" s="6"/>
      <c r="F41" s="6"/>
      <c r="G41" s="6"/>
      <c r="H41" s="6"/>
    </row>
    <row r="42" spans="1:8" x14ac:dyDescent="0.25">
      <c r="A42" s="2"/>
      <c r="B42" s="2"/>
      <c r="C42" s="15"/>
      <c r="D42" s="14"/>
      <c r="E42" s="6"/>
      <c r="F42" s="6"/>
      <c r="G42" s="6"/>
      <c r="H42" s="6"/>
    </row>
    <row r="43" spans="1:8" x14ac:dyDescent="0.25">
      <c r="A43" s="2"/>
      <c r="B43" s="2"/>
      <c r="C43" s="15"/>
      <c r="D43" s="14"/>
      <c r="E43" s="6"/>
      <c r="F43" s="6"/>
      <c r="G43" s="6"/>
      <c r="H43" s="6"/>
    </row>
    <row r="44" spans="1:8" x14ac:dyDescent="0.25">
      <c r="A44" s="2"/>
      <c r="B44" s="2"/>
      <c r="C44" s="15"/>
      <c r="D44" s="12"/>
      <c r="E44" s="6"/>
      <c r="F44" s="6"/>
      <c r="G44" s="6"/>
      <c r="H44" s="6"/>
    </row>
    <row r="45" spans="1:8" x14ac:dyDescent="0.25">
      <c r="A45" s="2"/>
      <c r="B45" s="2"/>
      <c r="C45" s="15"/>
      <c r="D45" s="12"/>
      <c r="E45" s="6"/>
      <c r="F45" s="6"/>
      <c r="G45" s="6"/>
      <c r="H45" s="6"/>
    </row>
    <row r="46" spans="1:8" x14ac:dyDescent="0.25">
      <c r="A46" s="2"/>
      <c r="B46" s="2"/>
      <c r="C46" s="15"/>
      <c r="D46" s="12"/>
      <c r="E46" s="6"/>
      <c r="F46" s="6"/>
      <c r="G46" s="6"/>
      <c r="H46" s="6"/>
    </row>
    <row r="47" spans="1:8" x14ac:dyDescent="0.25">
      <c r="A47" s="2"/>
      <c r="B47" s="2"/>
      <c r="C47" s="15"/>
      <c r="D47" s="14"/>
      <c r="E47" s="6"/>
      <c r="F47" s="6"/>
      <c r="G47" s="6"/>
      <c r="H47" s="6"/>
    </row>
    <row r="48" spans="1:8" x14ac:dyDescent="0.25">
      <c r="A48" s="2"/>
      <c r="B48" s="2"/>
      <c r="C48" s="15"/>
      <c r="D48" s="14"/>
      <c r="E48" s="6"/>
      <c r="F48" s="6"/>
      <c r="G48" s="6"/>
      <c r="H48" s="6"/>
    </row>
    <row r="49" spans="1:8" x14ac:dyDescent="0.25">
      <c r="A49" s="2"/>
      <c r="B49" s="2"/>
      <c r="C49" s="15"/>
      <c r="D49" s="12"/>
      <c r="E49" s="6"/>
      <c r="F49" s="6"/>
      <c r="G49" s="6"/>
      <c r="H49" s="6"/>
    </row>
    <row r="50" spans="1:8" x14ac:dyDescent="0.25">
      <c r="A50" s="2"/>
      <c r="B50" s="2"/>
      <c r="C50" s="15"/>
      <c r="D50" s="12"/>
      <c r="E50" s="6"/>
      <c r="F50" s="6"/>
      <c r="G50" s="6"/>
      <c r="H50" s="6"/>
    </row>
  </sheetData>
  <phoneticPr fontId="10" type="noConversion"/>
  <dataValidations count="2">
    <dataValidation type="list" allowBlank="1" showInputMessage="1" showErrorMessage="1" sqref="H2:H50" xr:uid="{00000000-0002-0000-0000-000000000000}">
      <formula1>"1- Not Started, 2- In Progress, 3- Completed"</formula1>
    </dataValidation>
    <dataValidation type="list" allowBlank="1" showInputMessage="1" showErrorMessage="1" sqref="E2:E13 E19:E50" xr:uid="{00000000-0002-0000-0000-000001000000}">
      <formula1>"MUST HAVE, SHOULD HAVE, COULD HAVE, WON'T HAVE"</formula1>
    </dataValidation>
  </dataValidations>
  <pageMargins left="0.7" right="0.7" top="0.75" bottom="0.75" header="0.3" footer="0.3"/>
  <pageSetup orientation="portrait"/>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7"/>
  <dimension ref="A1:W106"/>
  <sheetViews>
    <sheetView showGridLines="0" topLeftCell="A19" zoomScale="85" zoomScaleNormal="85" workbookViewId="0">
      <selection activeCell="G27" sqref="G27"/>
    </sheetView>
  </sheetViews>
  <sheetFormatPr defaultColWidth="9.109375" defaultRowHeight="10.199999999999999" x14ac:dyDescent="0.2"/>
  <cols>
    <col min="1" max="1" width="10" style="16" customWidth="1"/>
    <col min="2" max="2" width="9.6640625" style="31" customWidth="1"/>
    <col min="3" max="3" width="41.33203125" style="32" customWidth="1"/>
    <col min="4" max="4" width="11.44140625" style="33" customWidth="1"/>
    <col min="5" max="5" width="11.44140625" style="34" customWidth="1"/>
    <col min="6" max="6" width="9.6640625" style="35" customWidth="1"/>
    <col min="7" max="7" width="17" style="16" customWidth="1"/>
    <col min="8" max="8" width="13.33203125" style="16" customWidth="1"/>
    <col min="9" max="9" width="9.33203125" style="16" customWidth="1"/>
    <col min="10" max="10" width="10.88671875" style="16" customWidth="1"/>
    <col min="11" max="11" width="10.33203125" style="16" customWidth="1"/>
    <col min="12" max="12" width="10.109375" style="16" customWidth="1"/>
    <col min="13" max="13" width="9.109375" style="16" customWidth="1"/>
    <col min="14" max="16384" width="9.109375" style="16"/>
  </cols>
  <sheetData>
    <row r="1" spans="1:23" ht="18.75" customHeight="1" thickBot="1" x14ac:dyDescent="0.25">
      <c r="A1" s="43" t="s">
        <v>72</v>
      </c>
      <c r="B1" s="44"/>
      <c r="C1" s="44"/>
      <c r="D1" s="44"/>
      <c r="E1" s="44"/>
      <c r="F1" s="44"/>
      <c r="G1" s="44"/>
      <c r="H1" s="44"/>
      <c r="I1" s="44"/>
      <c r="J1" s="44"/>
      <c r="K1" s="44"/>
      <c r="L1" s="44"/>
      <c r="M1" s="44"/>
      <c r="N1" s="44"/>
      <c r="O1" s="44"/>
      <c r="P1" s="44"/>
      <c r="Q1" s="44"/>
      <c r="R1" s="44"/>
      <c r="S1" s="44"/>
      <c r="T1" s="45"/>
      <c r="U1" s="45"/>
      <c r="V1" s="44"/>
      <c r="W1" s="45"/>
    </row>
    <row r="2" spans="1:23" s="17" customFormat="1" ht="45.75" customHeight="1" x14ac:dyDescent="0.25">
      <c r="A2" s="69" t="s">
        <v>22</v>
      </c>
      <c r="B2" s="67" t="s">
        <v>73</v>
      </c>
      <c r="C2" s="65" t="s">
        <v>74</v>
      </c>
      <c r="D2" s="65" t="s">
        <v>75</v>
      </c>
      <c r="E2" s="71" t="s">
        <v>76</v>
      </c>
      <c r="F2" s="65" t="s">
        <v>77</v>
      </c>
      <c r="G2" s="65" t="s">
        <v>78</v>
      </c>
      <c r="H2" s="65" t="s">
        <v>27</v>
      </c>
      <c r="I2" s="40" t="s">
        <v>79</v>
      </c>
      <c r="J2" s="41" t="s">
        <v>80</v>
      </c>
      <c r="K2" s="41" t="s">
        <v>81</v>
      </c>
      <c r="L2" s="41" t="s">
        <v>82</v>
      </c>
      <c r="M2" s="41" t="s">
        <v>83</v>
      </c>
      <c r="N2" s="41" t="s">
        <v>84</v>
      </c>
      <c r="O2" s="41" t="s">
        <v>85</v>
      </c>
      <c r="P2" s="41" t="s">
        <v>86</v>
      </c>
      <c r="Q2" s="41" t="s">
        <v>87</v>
      </c>
      <c r="R2" s="41" t="s">
        <v>88</v>
      </c>
      <c r="S2" s="41" t="s">
        <v>89</v>
      </c>
      <c r="T2" s="41" t="s">
        <v>90</v>
      </c>
      <c r="U2" s="41" t="s">
        <v>91</v>
      </c>
      <c r="V2" s="41" t="s">
        <v>92</v>
      </c>
      <c r="W2" s="41" t="s">
        <v>93</v>
      </c>
    </row>
    <row r="3" spans="1:23" s="17" customFormat="1" ht="30" customHeight="1" x14ac:dyDescent="0.25">
      <c r="A3" s="70"/>
      <c r="B3" s="68"/>
      <c r="C3" s="66"/>
      <c r="D3" s="66"/>
      <c r="E3" s="66"/>
      <c r="F3" s="66"/>
      <c r="G3" s="66"/>
      <c r="H3" s="66"/>
      <c r="I3" s="46">
        <f t="shared" ref="I3:W3" si="0">SUM(I5:I802)</f>
        <v>0</v>
      </c>
      <c r="J3" s="46">
        <f t="shared" si="0"/>
        <v>0</v>
      </c>
      <c r="K3" s="46">
        <f t="shared" si="0"/>
        <v>0</v>
      </c>
      <c r="L3" s="46">
        <f t="shared" si="0"/>
        <v>0</v>
      </c>
      <c r="M3" s="46">
        <f t="shared" si="0"/>
        <v>0</v>
      </c>
      <c r="N3" s="46">
        <f t="shared" si="0"/>
        <v>0</v>
      </c>
      <c r="O3" s="46">
        <f t="shared" si="0"/>
        <v>0</v>
      </c>
      <c r="P3" s="46">
        <f t="shared" si="0"/>
        <v>0</v>
      </c>
      <c r="Q3" s="46">
        <f t="shared" si="0"/>
        <v>0</v>
      </c>
      <c r="R3" s="46">
        <f t="shared" si="0"/>
        <v>0</v>
      </c>
      <c r="S3" s="46">
        <f t="shared" si="0"/>
        <v>0</v>
      </c>
      <c r="T3" s="46">
        <f t="shared" si="0"/>
        <v>0</v>
      </c>
      <c r="U3" s="46">
        <f t="shared" si="0"/>
        <v>0</v>
      </c>
      <c r="V3" s="46">
        <f t="shared" si="0"/>
        <v>0</v>
      </c>
      <c r="W3" s="46">
        <f t="shared" si="0"/>
        <v>0</v>
      </c>
    </row>
    <row r="4" spans="1:23" s="17" customFormat="1" ht="33.75" customHeight="1" x14ac:dyDescent="0.25">
      <c r="A4" s="62" t="s">
        <v>94</v>
      </c>
      <c r="B4" s="63"/>
      <c r="C4" s="63"/>
      <c r="D4" s="63"/>
      <c r="E4" s="63"/>
      <c r="F4" s="63"/>
      <c r="G4" s="63"/>
      <c r="H4" s="63"/>
      <c r="I4" s="63"/>
      <c r="J4" s="63"/>
      <c r="K4" s="63"/>
      <c r="L4" s="63"/>
      <c r="M4" s="63"/>
      <c r="N4" s="63"/>
      <c r="O4" s="63"/>
      <c r="P4" s="63"/>
      <c r="Q4" s="63"/>
      <c r="R4" s="63"/>
      <c r="S4" s="63"/>
      <c r="T4" s="63"/>
      <c r="U4" s="63"/>
      <c r="V4" s="63"/>
      <c r="W4" s="64"/>
    </row>
    <row r="5" spans="1:23" ht="24.75" customHeight="1" x14ac:dyDescent="0.25">
      <c r="A5" s="50" t="s">
        <v>28</v>
      </c>
      <c r="B5" s="22" t="s">
        <v>95</v>
      </c>
      <c r="C5" s="56" t="s">
        <v>96</v>
      </c>
      <c r="D5" s="42">
        <v>46260</v>
      </c>
      <c r="E5" s="42">
        <v>46260</v>
      </c>
      <c r="F5" s="56" t="s">
        <v>10</v>
      </c>
      <c r="G5" s="55" t="s">
        <v>97</v>
      </c>
      <c r="H5" s="55" t="s">
        <v>98</v>
      </c>
      <c r="I5" s="55" t="s">
        <v>99</v>
      </c>
      <c r="J5" s="56" t="s">
        <v>100</v>
      </c>
      <c r="K5" s="21"/>
      <c r="L5" s="21"/>
      <c r="M5" s="21"/>
      <c r="N5" s="21"/>
      <c r="O5" s="23"/>
      <c r="P5" s="23"/>
      <c r="Q5" s="23"/>
      <c r="R5" s="23"/>
      <c r="S5" s="23"/>
      <c r="T5" s="21"/>
      <c r="U5" s="21"/>
      <c r="V5" s="21"/>
      <c r="W5" s="21"/>
    </row>
    <row r="6" spans="1:23" ht="24.75" customHeight="1" x14ac:dyDescent="0.25">
      <c r="A6" s="50" t="s">
        <v>34</v>
      </c>
      <c r="B6" s="22" t="s">
        <v>101</v>
      </c>
      <c r="C6" s="55" t="s">
        <v>102</v>
      </c>
      <c r="D6" s="57">
        <v>46261</v>
      </c>
      <c r="E6" s="57">
        <v>46261</v>
      </c>
      <c r="F6" s="56" t="s">
        <v>10</v>
      </c>
      <c r="G6" s="55" t="s">
        <v>103</v>
      </c>
      <c r="H6" s="55" t="s">
        <v>98</v>
      </c>
      <c r="I6" s="55" t="s">
        <v>104</v>
      </c>
      <c r="J6" s="21"/>
      <c r="K6" s="56" t="s">
        <v>105</v>
      </c>
      <c r="L6" s="21"/>
      <c r="M6" s="21"/>
      <c r="N6" s="21"/>
      <c r="O6" s="23"/>
      <c r="P6" s="23"/>
      <c r="Q6" s="23"/>
      <c r="R6" s="23"/>
      <c r="S6" s="23"/>
      <c r="T6" s="23"/>
      <c r="U6" s="23"/>
      <c r="V6" s="23"/>
      <c r="W6" s="23"/>
    </row>
    <row r="7" spans="1:23" ht="28.5" customHeight="1" x14ac:dyDescent="0.25">
      <c r="A7" s="50" t="s">
        <v>38</v>
      </c>
      <c r="B7" s="22" t="s">
        <v>106</v>
      </c>
      <c r="C7" s="56" t="s">
        <v>107</v>
      </c>
      <c r="D7" s="57">
        <v>46261</v>
      </c>
      <c r="E7" s="57">
        <v>46261</v>
      </c>
      <c r="F7" s="56" t="s">
        <v>10</v>
      </c>
      <c r="G7" s="55" t="s">
        <v>103</v>
      </c>
      <c r="H7" s="20" t="s">
        <v>32</v>
      </c>
      <c r="I7" s="55" t="s">
        <v>108</v>
      </c>
      <c r="J7" s="23"/>
      <c r="K7" s="23"/>
      <c r="L7" s="56" t="s">
        <v>109</v>
      </c>
      <c r="M7" s="23"/>
      <c r="N7" s="23"/>
      <c r="O7" s="23"/>
      <c r="P7" s="23"/>
      <c r="Q7" s="23"/>
      <c r="R7" s="23"/>
      <c r="S7" s="23"/>
      <c r="T7" s="23"/>
      <c r="U7" s="23"/>
      <c r="V7" s="23"/>
      <c r="W7" s="23"/>
    </row>
    <row r="8" spans="1:23" ht="36.75" customHeight="1" x14ac:dyDescent="0.25">
      <c r="A8" s="50" t="s">
        <v>42</v>
      </c>
      <c r="B8" s="22" t="s">
        <v>110</v>
      </c>
      <c r="C8" s="55" t="s">
        <v>111</v>
      </c>
      <c r="D8" s="57">
        <v>46263</v>
      </c>
      <c r="E8" s="57">
        <v>46263</v>
      </c>
      <c r="F8" s="56" t="s">
        <v>10</v>
      </c>
      <c r="G8" s="55" t="s">
        <v>103</v>
      </c>
      <c r="H8" s="20" t="s">
        <v>32</v>
      </c>
      <c r="I8" s="55" t="s">
        <v>112</v>
      </c>
      <c r="J8" s="21"/>
      <c r="K8" s="21"/>
      <c r="L8" s="21"/>
      <c r="M8" s="56" t="s">
        <v>113</v>
      </c>
      <c r="N8" s="21"/>
      <c r="O8" s="23"/>
      <c r="P8" s="23"/>
      <c r="Q8" s="23"/>
      <c r="R8" s="23"/>
      <c r="S8" s="23"/>
      <c r="T8" s="23"/>
      <c r="U8" s="23"/>
      <c r="V8" s="23"/>
      <c r="W8" s="23"/>
    </row>
    <row r="9" spans="1:23" ht="33" customHeight="1" x14ac:dyDescent="0.25">
      <c r="A9" s="50" t="s">
        <v>45</v>
      </c>
      <c r="B9" s="22" t="s">
        <v>114</v>
      </c>
      <c r="C9" s="55" t="s">
        <v>115</v>
      </c>
      <c r="D9" s="57">
        <v>46264</v>
      </c>
      <c r="E9" s="42">
        <v>46264</v>
      </c>
      <c r="F9" s="56" t="s">
        <v>10</v>
      </c>
      <c r="G9" s="55" t="s">
        <v>103</v>
      </c>
      <c r="H9" s="20" t="s">
        <v>32</v>
      </c>
      <c r="I9" s="55" t="s">
        <v>104</v>
      </c>
      <c r="J9" s="21"/>
      <c r="K9" s="21"/>
      <c r="L9" s="21"/>
      <c r="M9" s="21"/>
      <c r="N9" s="56" t="s">
        <v>116</v>
      </c>
      <c r="O9" s="23"/>
      <c r="P9" s="23"/>
      <c r="Q9" s="23"/>
      <c r="R9" s="23"/>
      <c r="S9" s="23"/>
      <c r="T9" s="23"/>
      <c r="U9" s="23"/>
      <c r="V9" s="23"/>
      <c r="W9" s="23"/>
    </row>
    <row r="10" spans="1:23" ht="33" customHeight="1" x14ac:dyDescent="0.25">
      <c r="A10" s="50" t="s">
        <v>49</v>
      </c>
      <c r="B10" s="42" t="s">
        <v>117</v>
      </c>
      <c r="C10" s="55" t="s">
        <v>118</v>
      </c>
      <c r="D10" s="58">
        <v>46265</v>
      </c>
      <c r="E10" s="34">
        <v>46265</v>
      </c>
      <c r="F10" s="56" t="s">
        <v>10</v>
      </c>
      <c r="G10" s="55" t="s">
        <v>103</v>
      </c>
      <c r="H10" s="20" t="s">
        <v>32</v>
      </c>
      <c r="I10" s="55" t="s">
        <v>108</v>
      </c>
      <c r="J10" s="21"/>
      <c r="K10" s="21"/>
      <c r="L10" s="21"/>
      <c r="M10" s="23"/>
      <c r="N10" s="23"/>
      <c r="O10" s="56" t="s">
        <v>119</v>
      </c>
      <c r="P10" s="23"/>
      <c r="Q10" s="23"/>
      <c r="R10" s="23"/>
      <c r="S10" s="23"/>
      <c r="T10" s="23"/>
      <c r="U10" s="23"/>
      <c r="V10" s="23"/>
      <c r="W10" s="23"/>
    </row>
    <row r="11" spans="1:23" ht="28.5" customHeight="1" x14ac:dyDescent="0.25">
      <c r="A11" s="50" t="s">
        <v>52</v>
      </c>
      <c r="B11" s="42" t="s">
        <v>120</v>
      </c>
      <c r="C11" s="56" t="s">
        <v>121</v>
      </c>
      <c r="D11" s="57">
        <v>46266</v>
      </c>
      <c r="E11" s="57">
        <v>46267</v>
      </c>
      <c r="F11" s="56" t="s">
        <v>10</v>
      </c>
      <c r="G11" s="55" t="s">
        <v>122</v>
      </c>
      <c r="H11" s="20" t="s">
        <v>32</v>
      </c>
      <c r="I11" s="55" t="s">
        <v>123</v>
      </c>
      <c r="J11" s="21"/>
      <c r="K11" s="21"/>
      <c r="L11" s="21"/>
      <c r="M11" s="23"/>
      <c r="N11" s="23"/>
      <c r="O11" s="23"/>
      <c r="P11" s="56" t="s">
        <v>124</v>
      </c>
      <c r="Q11" s="23"/>
      <c r="R11" s="23"/>
      <c r="S11" s="23"/>
      <c r="T11" s="23"/>
      <c r="U11" s="23"/>
      <c r="V11" s="23"/>
      <c r="W11" s="23"/>
    </row>
    <row r="12" spans="1:23" ht="29.25" customHeight="1" x14ac:dyDescent="0.25">
      <c r="A12" s="50" t="s">
        <v>125</v>
      </c>
      <c r="B12" s="42" t="s">
        <v>126</v>
      </c>
      <c r="C12" s="56" t="s">
        <v>127</v>
      </c>
      <c r="D12" s="58">
        <v>46269</v>
      </c>
      <c r="E12" s="57">
        <v>46269</v>
      </c>
      <c r="F12" s="56" t="s">
        <v>10</v>
      </c>
      <c r="G12" s="55" t="s">
        <v>10</v>
      </c>
      <c r="H12" s="55" t="s">
        <v>98</v>
      </c>
      <c r="I12" s="55" t="s">
        <v>104</v>
      </c>
      <c r="J12" s="56" t="s">
        <v>128</v>
      </c>
      <c r="K12" s="23"/>
      <c r="L12" s="23"/>
      <c r="M12" s="23"/>
      <c r="N12" s="23"/>
      <c r="O12" s="23"/>
      <c r="P12" s="23"/>
      <c r="Q12" s="23"/>
      <c r="R12" s="23"/>
      <c r="S12" s="23"/>
      <c r="T12" s="23"/>
      <c r="U12" s="23"/>
      <c r="V12" s="23"/>
      <c r="W12" s="23"/>
    </row>
    <row r="13" spans="1:23" ht="30" customHeight="1" x14ac:dyDescent="0.25">
      <c r="A13" s="50" t="s">
        <v>129</v>
      </c>
      <c r="B13" s="42" t="s">
        <v>130</v>
      </c>
      <c r="C13" s="56" t="s">
        <v>131</v>
      </c>
      <c r="D13" s="57">
        <v>46270</v>
      </c>
      <c r="E13" s="57">
        <v>46270</v>
      </c>
      <c r="F13" s="56" t="s">
        <v>10</v>
      </c>
      <c r="G13" s="55" t="s">
        <v>103</v>
      </c>
      <c r="H13" s="55" t="s">
        <v>98</v>
      </c>
      <c r="I13" s="55" t="s">
        <v>112</v>
      </c>
      <c r="J13" s="21"/>
      <c r="K13" s="56" t="s">
        <v>132</v>
      </c>
      <c r="L13" s="21"/>
      <c r="M13" s="23"/>
      <c r="N13" s="23"/>
      <c r="O13" s="23"/>
      <c r="P13" s="23"/>
      <c r="Q13" s="23"/>
      <c r="R13" s="23"/>
      <c r="S13" s="23"/>
      <c r="T13" s="23"/>
      <c r="U13" s="23"/>
      <c r="V13" s="23"/>
      <c r="W13" s="23"/>
    </row>
    <row r="14" spans="1:23" ht="29.25" customHeight="1" x14ac:dyDescent="0.25">
      <c r="A14" s="50" t="s">
        <v>129</v>
      </c>
      <c r="B14" s="42" t="s">
        <v>133</v>
      </c>
      <c r="C14" s="56" t="s">
        <v>134</v>
      </c>
      <c r="D14" s="57">
        <v>46271</v>
      </c>
      <c r="E14" s="57">
        <v>46271</v>
      </c>
      <c r="F14" s="56" t="s">
        <v>10</v>
      </c>
      <c r="G14" s="55" t="s">
        <v>103</v>
      </c>
      <c r="H14" s="55" t="s">
        <v>98</v>
      </c>
      <c r="I14" s="55" t="s">
        <v>112</v>
      </c>
      <c r="J14" s="21"/>
      <c r="K14" s="21"/>
      <c r="L14" s="56" t="s">
        <v>135</v>
      </c>
      <c r="M14" s="23"/>
      <c r="N14" s="23"/>
      <c r="O14" s="23"/>
      <c r="P14" s="23"/>
      <c r="Q14" s="23"/>
      <c r="R14" s="23"/>
      <c r="S14" s="23"/>
      <c r="T14" s="23"/>
      <c r="U14" s="23"/>
      <c r="V14" s="23"/>
      <c r="W14" s="23"/>
    </row>
    <row r="15" spans="1:23" ht="34.5" customHeight="1" x14ac:dyDescent="0.25">
      <c r="A15" s="55" t="s">
        <v>129</v>
      </c>
      <c r="B15" s="55" t="s">
        <v>136</v>
      </c>
      <c r="C15" s="56" t="s">
        <v>137</v>
      </c>
      <c r="D15" s="57">
        <v>46272</v>
      </c>
      <c r="E15" s="57">
        <v>46272</v>
      </c>
      <c r="F15" s="56" t="s">
        <v>10</v>
      </c>
      <c r="G15" s="55" t="s">
        <v>103</v>
      </c>
      <c r="H15" s="20" t="s">
        <v>32</v>
      </c>
      <c r="I15" s="55" t="s">
        <v>104</v>
      </c>
      <c r="J15" s="21"/>
      <c r="K15" s="21"/>
      <c r="L15" s="21"/>
      <c r="M15" s="56" t="s">
        <v>138</v>
      </c>
      <c r="N15" s="23"/>
      <c r="O15" s="23"/>
      <c r="P15" s="23"/>
      <c r="Q15" s="23"/>
      <c r="R15" s="23"/>
      <c r="S15" s="23"/>
      <c r="T15" s="23"/>
      <c r="U15" s="23"/>
      <c r="V15" s="23"/>
      <c r="W15" s="23"/>
    </row>
    <row r="16" spans="1:23" ht="36.75" customHeight="1" x14ac:dyDescent="0.25">
      <c r="A16" s="55" t="s">
        <v>129</v>
      </c>
      <c r="B16" s="55" t="s">
        <v>139</v>
      </c>
      <c r="C16" s="56" t="s">
        <v>140</v>
      </c>
      <c r="D16" s="57">
        <v>46273</v>
      </c>
      <c r="E16" s="57">
        <v>46273</v>
      </c>
      <c r="F16" s="56" t="s">
        <v>10</v>
      </c>
      <c r="G16" s="55" t="s">
        <v>103</v>
      </c>
      <c r="H16" s="55" t="s">
        <v>141</v>
      </c>
      <c r="I16" s="55" t="s">
        <v>112</v>
      </c>
      <c r="J16" s="21"/>
      <c r="K16" s="21"/>
      <c r="L16" s="21"/>
      <c r="M16" s="23"/>
      <c r="N16" s="56" t="s">
        <v>142</v>
      </c>
      <c r="O16" s="23"/>
      <c r="P16" s="23"/>
      <c r="Q16" s="23"/>
      <c r="R16" s="23"/>
      <c r="S16" s="23"/>
      <c r="T16" s="23"/>
      <c r="U16" s="23"/>
      <c r="V16" s="23"/>
      <c r="W16" s="23"/>
    </row>
    <row r="17" spans="1:23" ht="34.5" customHeight="1" x14ac:dyDescent="0.25">
      <c r="A17" s="55" t="s">
        <v>64</v>
      </c>
      <c r="B17" s="55" t="s">
        <v>143</v>
      </c>
      <c r="C17" s="56" t="s">
        <v>144</v>
      </c>
      <c r="D17" s="57">
        <v>46274</v>
      </c>
      <c r="E17" s="57">
        <v>46274</v>
      </c>
      <c r="F17" s="56" t="s">
        <v>10</v>
      </c>
      <c r="G17" s="55" t="s">
        <v>103</v>
      </c>
      <c r="H17" s="55" t="s">
        <v>141</v>
      </c>
      <c r="I17" s="55" t="s">
        <v>104</v>
      </c>
      <c r="J17" s="21"/>
      <c r="K17" s="21"/>
      <c r="L17" s="21"/>
      <c r="M17" s="23"/>
      <c r="N17" s="23"/>
      <c r="O17" s="56" t="s">
        <v>145</v>
      </c>
      <c r="P17" s="23"/>
      <c r="Q17" s="23"/>
      <c r="R17" s="23"/>
      <c r="S17" s="23"/>
      <c r="T17" s="23"/>
      <c r="U17" s="23"/>
      <c r="V17" s="23"/>
      <c r="W17" s="23"/>
    </row>
    <row r="18" spans="1:23" ht="42" customHeight="1" x14ac:dyDescent="0.25">
      <c r="A18" s="55" t="s">
        <v>66</v>
      </c>
      <c r="B18" s="55" t="s">
        <v>146</v>
      </c>
      <c r="C18" s="56" t="s">
        <v>147</v>
      </c>
      <c r="D18" s="57">
        <v>46275</v>
      </c>
      <c r="E18" s="57">
        <v>46275</v>
      </c>
      <c r="F18" s="56" t="s">
        <v>10</v>
      </c>
      <c r="G18" s="55" t="s">
        <v>103</v>
      </c>
      <c r="H18" s="55" t="s">
        <v>141</v>
      </c>
      <c r="I18" s="55" t="s">
        <v>104</v>
      </c>
      <c r="J18" s="21"/>
      <c r="K18" s="21"/>
      <c r="L18" s="21"/>
      <c r="M18" s="23"/>
      <c r="N18" s="23"/>
      <c r="O18" s="23"/>
      <c r="P18" s="56" t="s">
        <v>148</v>
      </c>
      <c r="Q18" s="23"/>
      <c r="R18" s="23"/>
      <c r="S18" s="23"/>
      <c r="T18" s="23"/>
      <c r="U18" s="23"/>
      <c r="V18" s="23"/>
      <c r="W18" s="23"/>
    </row>
    <row r="19" spans="1:23" ht="39.75" customHeight="1" x14ac:dyDescent="0.25">
      <c r="A19" s="55" t="s">
        <v>69</v>
      </c>
      <c r="B19" s="55" t="s">
        <v>149</v>
      </c>
      <c r="C19" s="56" t="s">
        <v>150</v>
      </c>
      <c r="D19" s="58">
        <v>46276</v>
      </c>
      <c r="E19" s="57">
        <v>46276</v>
      </c>
      <c r="F19" s="56" t="s">
        <v>10</v>
      </c>
      <c r="G19" s="55" t="s">
        <v>103</v>
      </c>
      <c r="H19" s="55" t="s">
        <v>141</v>
      </c>
      <c r="I19" s="55" t="s">
        <v>112</v>
      </c>
      <c r="J19" s="21"/>
      <c r="K19" s="21"/>
      <c r="L19" s="21"/>
      <c r="M19" s="23"/>
      <c r="N19" s="23"/>
      <c r="O19" s="23"/>
      <c r="P19" s="23"/>
      <c r="Q19" s="56" t="s">
        <v>151</v>
      </c>
      <c r="R19" s="23"/>
      <c r="S19" s="23"/>
      <c r="T19" s="23"/>
      <c r="U19" s="23"/>
      <c r="V19" s="23"/>
      <c r="W19" s="23"/>
    </row>
    <row r="20" spans="1:23" ht="26.25" customHeight="1" x14ac:dyDescent="0.25">
      <c r="A20" s="55" t="s">
        <v>69</v>
      </c>
      <c r="B20" s="55" t="s">
        <v>152</v>
      </c>
      <c r="C20" s="56" t="s">
        <v>153</v>
      </c>
      <c r="D20" s="57">
        <v>46277</v>
      </c>
      <c r="E20" s="57">
        <v>46278</v>
      </c>
      <c r="F20" s="56" t="s">
        <v>10</v>
      </c>
      <c r="G20" s="16" t="s">
        <v>154</v>
      </c>
      <c r="H20" s="55" t="s">
        <v>141</v>
      </c>
      <c r="I20" s="55" t="s">
        <v>112</v>
      </c>
      <c r="J20" s="21"/>
      <c r="K20" s="21"/>
      <c r="L20" s="21"/>
      <c r="M20" s="23"/>
      <c r="N20" s="23"/>
      <c r="O20" s="23"/>
      <c r="P20" s="23"/>
      <c r="Q20" s="23"/>
      <c r="R20" s="56" t="s">
        <v>155</v>
      </c>
      <c r="S20" s="23"/>
      <c r="T20" s="23"/>
      <c r="U20" s="23"/>
      <c r="V20" s="23"/>
      <c r="W20" s="23"/>
    </row>
    <row r="21" spans="1:23" ht="23.25" customHeight="1" x14ac:dyDescent="0.25">
      <c r="A21" s="55" t="s">
        <v>64</v>
      </c>
      <c r="B21" s="55" t="s">
        <v>156</v>
      </c>
      <c r="C21" s="56" t="s">
        <v>157</v>
      </c>
      <c r="D21" s="57">
        <v>46278</v>
      </c>
      <c r="E21" s="57">
        <v>46278</v>
      </c>
      <c r="F21" s="56" t="s">
        <v>10</v>
      </c>
      <c r="G21" s="55" t="s">
        <v>122</v>
      </c>
      <c r="H21" s="55" t="s">
        <v>141</v>
      </c>
      <c r="I21" s="55" t="s">
        <v>104</v>
      </c>
      <c r="J21" s="21"/>
      <c r="K21" s="21"/>
      <c r="L21" s="21"/>
      <c r="M21" s="23"/>
      <c r="N21" s="23"/>
      <c r="O21" s="23"/>
      <c r="P21" s="23"/>
      <c r="Q21" s="23"/>
      <c r="R21" s="23"/>
      <c r="S21" s="59" t="s">
        <v>158</v>
      </c>
      <c r="T21" s="23"/>
      <c r="U21" s="23"/>
      <c r="V21" s="23"/>
      <c r="W21" s="23"/>
    </row>
    <row r="22" spans="1:23" ht="24" customHeight="1" x14ac:dyDescent="0.25">
      <c r="A22" s="55" t="s">
        <v>69</v>
      </c>
      <c r="B22" s="55" t="s">
        <v>214</v>
      </c>
      <c r="C22" s="56" t="s">
        <v>213</v>
      </c>
      <c r="D22" s="57">
        <v>46279</v>
      </c>
      <c r="E22" s="57">
        <v>46279</v>
      </c>
      <c r="F22" s="56" t="s">
        <v>10</v>
      </c>
      <c r="G22" s="55" t="s">
        <v>103</v>
      </c>
      <c r="H22" s="55" t="s">
        <v>141</v>
      </c>
      <c r="I22" s="55" t="s">
        <v>108</v>
      </c>
      <c r="J22" s="21"/>
      <c r="K22" s="21"/>
      <c r="L22" s="21"/>
      <c r="M22" s="23"/>
      <c r="N22" s="23"/>
      <c r="O22" s="23"/>
      <c r="P22" s="23"/>
      <c r="Q22" s="23"/>
      <c r="R22" s="23"/>
      <c r="S22" s="59"/>
      <c r="T22" s="23"/>
      <c r="U22" s="23"/>
      <c r="V22" s="23"/>
      <c r="W22" s="23"/>
    </row>
    <row r="23" spans="1:23" ht="24" customHeight="1" x14ac:dyDescent="0.25">
      <c r="A23" s="55" t="s">
        <v>201</v>
      </c>
      <c r="B23" s="55" t="s">
        <v>215</v>
      </c>
      <c r="C23" s="56" t="s">
        <v>216</v>
      </c>
      <c r="D23" s="57">
        <v>46280</v>
      </c>
      <c r="E23" s="57">
        <v>46280</v>
      </c>
      <c r="F23" s="20" t="s">
        <v>217</v>
      </c>
      <c r="G23" s="55" t="s">
        <v>103</v>
      </c>
      <c r="H23" s="20" t="s">
        <v>32</v>
      </c>
      <c r="I23" s="21" t="s">
        <v>108</v>
      </c>
      <c r="J23" s="21"/>
      <c r="K23" s="21"/>
      <c r="L23" s="21"/>
      <c r="M23" s="23"/>
      <c r="N23" s="23"/>
      <c r="O23" s="23"/>
      <c r="P23" s="23"/>
      <c r="Q23" s="23"/>
      <c r="R23" s="23"/>
      <c r="S23" s="23"/>
      <c r="T23" s="23"/>
      <c r="U23" s="23"/>
      <c r="V23" s="23"/>
      <c r="W23" s="23"/>
    </row>
    <row r="24" spans="1:23" ht="24" customHeight="1" x14ac:dyDescent="0.25">
      <c r="A24" s="55" t="s">
        <v>202</v>
      </c>
      <c r="B24" s="55" t="s">
        <v>218</v>
      </c>
      <c r="C24" s="42" t="s">
        <v>219</v>
      </c>
      <c r="D24" s="57">
        <v>46281</v>
      </c>
      <c r="E24" s="57">
        <v>46281</v>
      </c>
      <c r="F24" s="20" t="s">
        <v>217</v>
      </c>
      <c r="G24" s="55" t="s">
        <v>103</v>
      </c>
      <c r="H24" s="20" t="s">
        <v>32</v>
      </c>
      <c r="I24" s="21" t="s">
        <v>108</v>
      </c>
      <c r="J24" s="21"/>
      <c r="K24" s="21"/>
      <c r="L24" s="21"/>
      <c r="M24" s="23"/>
      <c r="N24" s="23"/>
      <c r="O24" s="23"/>
      <c r="P24" s="23"/>
      <c r="Q24" s="23"/>
      <c r="R24" s="23"/>
      <c r="S24" s="23"/>
      <c r="T24" s="23"/>
      <c r="U24" s="23"/>
      <c r="V24" s="23"/>
      <c r="W24" s="23"/>
    </row>
    <row r="25" spans="1:23" ht="24" customHeight="1" x14ac:dyDescent="0.25">
      <c r="A25" s="55" t="s">
        <v>204</v>
      </c>
      <c r="B25" s="55" t="s">
        <v>220</v>
      </c>
      <c r="C25" s="55" t="s">
        <v>221</v>
      </c>
      <c r="D25" s="57">
        <v>46282</v>
      </c>
      <c r="E25" s="57">
        <v>46282</v>
      </c>
      <c r="F25" s="20" t="s">
        <v>217</v>
      </c>
      <c r="G25" s="55" t="s">
        <v>103</v>
      </c>
      <c r="H25" s="20" t="s">
        <v>32</v>
      </c>
      <c r="I25" s="21" t="s">
        <v>104</v>
      </c>
      <c r="J25" s="21"/>
      <c r="K25" s="21"/>
      <c r="L25" s="21"/>
      <c r="M25" s="23"/>
      <c r="N25" s="23"/>
      <c r="O25" s="23"/>
      <c r="P25" s="23"/>
      <c r="Q25" s="23"/>
      <c r="R25" s="23"/>
      <c r="S25" s="23"/>
      <c r="T25" s="23"/>
      <c r="U25" s="23"/>
      <c r="V25" s="23"/>
      <c r="W25" s="23"/>
    </row>
    <row r="26" spans="1:23" ht="24" customHeight="1" x14ac:dyDescent="0.25">
      <c r="A26" s="55" t="s">
        <v>209</v>
      </c>
      <c r="B26" s="55" t="s">
        <v>222</v>
      </c>
      <c r="C26" s="56" t="s">
        <v>223</v>
      </c>
      <c r="D26" s="57">
        <v>46283</v>
      </c>
      <c r="E26" s="57">
        <v>46283</v>
      </c>
      <c r="F26" s="20" t="s">
        <v>217</v>
      </c>
      <c r="G26" s="55" t="s">
        <v>103</v>
      </c>
      <c r="H26" s="20" t="s">
        <v>32</v>
      </c>
      <c r="I26" s="21" t="s">
        <v>108</v>
      </c>
      <c r="J26" s="23"/>
      <c r="K26" s="23"/>
      <c r="L26" s="23"/>
      <c r="M26" s="23"/>
      <c r="N26" s="23"/>
      <c r="O26" s="23"/>
      <c r="P26" s="23"/>
      <c r="Q26" s="23"/>
      <c r="R26" s="23"/>
      <c r="S26" s="23"/>
      <c r="T26" s="23"/>
      <c r="U26" s="23"/>
      <c r="V26" s="23"/>
      <c r="W26" s="23"/>
    </row>
    <row r="27" spans="1:23" ht="24" customHeight="1" x14ac:dyDescent="0.25">
      <c r="A27" s="55" t="s">
        <v>211</v>
      </c>
      <c r="B27" s="55" t="s">
        <v>224</v>
      </c>
      <c r="C27" s="56" t="s">
        <v>225</v>
      </c>
      <c r="D27" s="57">
        <v>46284</v>
      </c>
      <c r="E27" s="57">
        <v>46284</v>
      </c>
      <c r="F27" s="20" t="s">
        <v>217</v>
      </c>
      <c r="G27" s="59" t="s">
        <v>122</v>
      </c>
      <c r="H27" s="20" t="s">
        <v>32</v>
      </c>
      <c r="I27" s="55" t="s">
        <v>104</v>
      </c>
      <c r="J27" s="23"/>
      <c r="K27" s="23"/>
      <c r="L27" s="23"/>
      <c r="M27" s="23"/>
      <c r="N27" s="23"/>
      <c r="O27" s="23"/>
      <c r="P27" s="23"/>
      <c r="Q27" s="23"/>
      <c r="R27" s="23"/>
      <c r="S27" s="23"/>
      <c r="T27" s="23"/>
      <c r="U27" s="23"/>
      <c r="V27" s="23"/>
      <c r="W27" s="23"/>
    </row>
    <row r="28" spans="1:23" ht="29.25" customHeight="1" x14ac:dyDescent="0.25">
      <c r="A28" s="55" t="s">
        <v>226</v>
      </c>
      <c r="B28" s="55" t="s">
        <v>227</v>
      </c>
      <c r="C28" s="56" t="s">
        <v>228</v>
      </c>
      <c r="D28" s="57">
        <v>46285</v>
      </c>
      <c r="E28" s="57">
        <v>46285</v>
      </c>
      <c r="F28" s="20" t="s">
        <v>217</v>
      </c>
      <c r="G28" s="59" t="s">
        <v>154</v>
      </c>
      <c r="H28" s="20" t="s">
        <v>32</v>
      </c>
      <c r="I28" s="55" t="s">
        <v>104</v>
      </c>
      <c r="J28" s="23"/>
      <c r="K28" s="23"/>
      <c r="L28" s="23"/>
      <c r="M28" s="23"/>
      <c r="N28" s="23"/>
      <c r="O28" s="23"/>
      <c r="P28" s="23"/>
      <c r="Q28" s="23"/>
      <c r="R28" s="23"/>
      <c r="S28" s="23"/>
      <c r="T28" s="23"/>
      <c r="U28" s="23"/>
      <c r="V28" s="23"/>
      <c r="W28" s="23"/>
    </row>
    <row r="29" spans="1:23" ht="20.25" customHeight="1" x14ac:dyDescent="0.25">
      <c r="A29" s="50"/>
      <c r="B29" s="22"/>
      <c r="C29" s="24" t="s">
        <v>159</v>
      </c>
      <c r="D29" s="42"/>
      <c r="E29" s="42"/>
      <c r="F29" s="19"/>
      <c r="G29" s="59"/>
      <c r="H29" s="20"/>
      <c r="I29" s="21"/>
      <c r="J29" s="23"/>
      <c r="K29" s="23"/>
      <c r="L29" s="23"/>
      <c r="M29" s="23"/>
      <c r="N29" s="23"/>
      <c r="O29" s="23"/>
      <c r="P29" s="23"/>
      <c r="Q29" s="23"/>
      <c r="R29" s="23"/>
      <c r="S29" s="23"/>
      <c r="T29" s="23"/>
      <c r="U29" s="23"/>
      <c r="V29" s="23"/>
      <c r="W29" s="23"/>
    </row>
    <row r="30" spans="1:23" ht="20.25" customHeight="1" x14ac:dyDescent="0.25">
      <c r="A30" s="50"/>
      <c r="B30" s="22"/>
      <c r="C30" s="24"/>
      <c r="D30" s="42"/>
      <c r="E30" s="42"/>
      <c r="F30" s="19"/>
      <c r="G30" s="18"/>
      <c r="H30" s="20"/>
      <c r="I30" s="21"/>
      <c r="J30" s="23"/>
      <c r="K30" s="23"/>
      <c r="L30" s="23"/>
      <c r="M30" s="23"/>
      <c r="N30" s="23"/>
      <c r="O30" s="23"/>
      <c r="P30" s="23"/>
      <c r="Q30" s="23"/>
      <c r="R30" s="23"/>
      <c r="S30" s="23"/>
      <c r="T30" s="23"/>
      <c r="U30" s="23"/>
      <c r="V30" s="23"/>
      <c r="W30" s="23"/>
    </row>
    <row r="31" spans="1:23" ht="20.25" customHeight="1" x14ac:dyDescent="0.25">
      <c r="A31" s="50"/>
      <c r="B31" s="22"/>
      <c r="C31" s="24"/>
      <c r="D31" s="42"/>
      <c r="E31" s="42"/>
      <c r="F31" s="19"/>
      <c r="G31" s="18"/>
      <c r="H31" s="20"/>
      <c r="I31" s="21"/>
      <c r="J31" s="23"/>
      <c r="K31" s="23"/>
      <c r="L31" s="23"/>
      <c r="M31" s="23"/>
      <c r="N31" s="23"/>
      <c r="O31" s="23"/>
      <c r="P31" s="23"/>
      <c r="Q31" s="23"/>
      <c r="R31" s="23"/>
      <c r="S31" s="23"/>
      <c r="T31" s="23"/>
      <c r="U31" s="23"/>
      <c r="V31" s="23"/>
      <c r="W31" s="23"/>
    </row>
    <row r="32" spans="1:23" ht="20.25" customHeight="1" x14ac:dyDescent="0.25">
      <c r="A32" s="50"/>
      <c r="B32" s="22"/>
      <c r="C32" s="24"/>
      <c r="D32" s="42"/>
      <c r="E32" s="42"/>
      <c r="F32" s="19"/>
      <c r="G32" s="18"/>
      <c r="H32" s="20"/>
      <c r="I32" s="21"/>
      <c r="J32" s="23"/>
      <c r="K32" s="23"/>
      <c r="L32" s="23"/>
      <c r="M32" s="23"/>
      <c r="N32" s="23"/>
      <c r="O32" s="23"/>
      <c r="P32" s="23"/>
      <c r="Q32" s="23"/>
      <c r="R32" s="23"/>
      <c r="S32" s="23"/>
      <c r="T32" s="23"/>
      <c r="U32" s="23"/>
      <c r="V32" s="23"/>
      <c r="W32" s="23"/>
    </row>
    <row r="33" spans="1:23" ht="20.25" customHeight="1" x14ac:dyDescent="0.25">
      <c r="A33" s="50"/>
      <c r="B33" s="22"/>
      <c r="C33" s="24"/>
      <c r="D33" s="42"/>
      <c r="E33" s="42"/>
      <c r="F33" s="19"/>
      <c r="G33" s="18"/>
      <c r="H33" s="20"/>
      <c r="I33" s="21"/>
      <c r="J33" s="23"/>
      <c r="K33" s="23"/>
      <c r="L33" s="23"/>
      <c r="M33" s="23"/>
      <c r="N33" s="23"/>
      <c r="O33" s="23"/>
      <c r="P33" s="23"/>
      <c r="Q33" s="23"/>
      <c r="R33" s="23"/>
      <c r="S33" s="23"/>
      <c r="T33" s="23"/>
      <c r="U33" s="23"/>
      <c r="V33" s="23"/>
      <c r="W33" s="23"/>
    </row>
    <row r="34" spans="1:23" ht="14.25" customHeight="1" x14ac:dyDescent="0.25">
      <c r="A34" s="50"/>
      <c r="B34" s="22"/>
      <c r="C34" s="24" t="s">
        <v>159</v>
      </c>
      <c r="D34" s="42"/>
      <c r="E34" s="42"/>
      <c r="F34" s="19"/>
      <c r="G34" s="18"/>
      <c r="H34" s="20"/>
      <c r="I34" s="21"/>
      <c r="J34" s="23"/>
      <c r="K34" s="23"/>
      <c r="L34" s="23"/>
      <c r="M34" s="23"/>
      <c r="N34" s="23"/>
      <c r="O34" s="23"/>
      <c r="P34" s="23"/>
      <c r="Q34" s="23"/>
      <c r="R34" s="23"/>
      <c r="S34" s="23"/>
      <c r="T34" s="23"/>
      <c r="U34" s="23"/>
      <c r="V34" s="23"/>
      <c r="W34" s="23"/>
    </row>
    <row r="35" spans="1:23" ht="21" customHeight="1" x14ac:dyDescent="0.25">
      <c r="A35" s="50"/>
      <c r="B35" s="22"/>
      <c r="C35" s="24" t="s">
        <v>159</v>
      </c>
      <c r="D35" s="42"/>
      <c r="E35" s="42"/>
      <c r="F35" s="19"/>
      <c r="G35" s="18"/>
      <c r="H35" s="20"/>
      <c r="I35" s="21"/>
      <c r="J35" s="23"/>
      <c r="K35" s="23"/>
      <c r="L35" s="23"/>
      <c r="M35" s="23"/>
      <c r="N35" s="23"/>
      <c r="O35" s="23"/>
      <c r="P35" s="23"/>
      <c r="Q35" s="23"/>
      <c r="R35" s="23"/>
      <c r="S35" s="23"/>
      <c r="T35" s="23"/>
      <c r="U35" s="23"/>
      <c r="V35" s="23"/>
      <c r="W35" s="23"/>
    </row>
    <row r="36" spans="1:23" ht="21.75" customHeight="1" x14ac:dyDescent="0.25">
      <c r="A36" s="50"/>
      <c r="B36" s="22"/>
      <c r="C36" s="24" t="s">
        <v>159</v>
      </c>
      <c r="D36" s="42"/>
      <c r="E36" s="42"/>
      <c r="F36" s="19"/>
      <c r="G36" s="18"/>
      <c r="H36" s="20"/>
      <c r="I36" s="21"/>
      <c r="J36" s="23"/>
      <c r="K36" s="23"/>
      <c r="L36" s="23"/>
      <c r="M36" s="23"/>
      <c r="N36" s="23"/>
      <c r="O36" s="23"/>
      <c r="P36" s="23"/>
      <c r="Q36" s="23"/>
      <c r="R36" s="23"/>
      <c r="S36" s="23"/>
      <c r="T36" s="23"/>
      <c r="U36" s="23"/>
      <c r="V36" s="23"/>
      <c r="W36" s="23"/>
    </row>
    <row r="37" spans="1:23" ht="21.75" customHeight="1" x14ac:dyDescent="0.25">
      <c r="A37" s="50"/>
      <c r="B37" s="22"/>
      <c r="C37" s="24"/>
      <c r="D37" s="42"/>
      <c r="E37" s="42"/>
      <c r="F37" s="19"/>
      <c r="G37" s="18"/>
      <c r="H37" s="20"/>
      <c r="I37" s="21"/>
      <c r="J37" s="23"/>
      <c r="K37" s="23"/>
      <c r="L37" s="23"/>
      <c r="M37" s="23"/>
      <c r="N37" s="23"/>
      <c r="O37" s="23"/>
      <c r="P37" s="23"/>
      <c r="Q37" s="23"/>
      <c r="R37" s="23"/>
      <c r="S37" s="23"/>
      <c r="T37" s="23"/>
      <c r="U37" s="23"/>
      <c r="V37" s="23"/>
      <c r="W37" s="23"/>
    </row>
    <row r="38" spans="1:23" ht="21.75" customHeight="1" x14ac:dyDescent="0.25">
      <c r="A38" s="50"/>
      <c r="B38" s="22"/>
      <c r="C38" s="24"/>
      <c r="D38" s="42"/>
      <c r="E38" s="42"/>
      <c r="F38" s="19"/>
      <c r="G38" s="18"/>
      <c r="H38" s="20"/>
      <c r="I38" s="21"/>
      <c r="J38" s="23"/>
      <c r="K38" s="23"/>
      <c r="L38" s="23"/>
      <c r="M38" s="23"/>
      <c r="N38" s="23"/>
      <c r="O38" s="23"/>
      <c r="P38" s="23"/>
      <c r="Q38" s="23"/>
      <c r="R38" s="23"/>
      <c r="S38" s="23"/>
      <c r="T38" s="23"/>
      <c r="U38" s="23"/>
      <c r="V38" s="23"/>
      <c r="W38" s="23"/>
    </row>
    <row r="39" spans="1:23" ht="21.75" customHeight="1" x14ac:dyDescent="0.25">
      <c r="A39" s="50"/>
      <c r="B39" s="22"/>
      <c r="C39" s="24"/>
      <c r="D39" s="42"/>
      <c r="E39" s="42"/>
      <c r="F39" s="19"/>
      <c r="G39" s="18"/>
      <c r="H39" s="20"/>
      <c r="I39" s="21"/>
      <c r="J39" s="23"/>
      <c r="K39" s="23"/>
      <c r="L39" s="23"/>
      <c r="M39" s="23"/>
      <c r="N39" s="23"/>
      <c r="O39" s="23"/>
      <c r="P39" s="23"/>
      <c r="Q39" s="23"/>
      <c r="R39" s="23"/>
      <c r="S39" s="23"/>
      <c r="T39" s="23"/>
      <c r="U39" s="23"/>
      <c r="V39" s="23"/>
      <c r="W39" s="23"/>
    </row>
    <row r="40" spans="1:23" ht="21.75" customHeight="1" x14ac:dyDescent="0.25">
      <c r="A40" s="50"/>
      <c r="B40" s="22"/>
      <c r="C40" s="24"/>
      <c r="D40" s="42"/>
      <c r="E40" s="42"/>
      <c r="F40" s="19"/>
      <c r="G40" s="18"/>
      <c r="H40" s="20"/>
      <c r="I40" s="21"/>
      <c r="J40" s="23"/>
      <c r="K40" s="23"/>
      <c r="L40" s="23"/>
      <c r="M40" s="23"/>
      <c r="N40" s="23"/>
      <c r="O40" s="23"/>
      <c r="P40" s="23"/>
      <c r="Q40" s="23"/>
      <c r="R40" s="23"/>
      <c r="S40" s="23"/>
      <c r="T40" s="23"/>
      <c r="U40" s="23"/>
      <c r="V40" s="23"/>
      <c r="W40" s="23"/>
    </row>
    <row r="41" spans="1:23" ht="21" customHeight="1" x14ac:dyDescent="0.25">
      <c r="A41" s="50"/>
      <c r="B41" s="22"/>
      <c r="C41" s="24" t="s">
        <v>159</v>
      </c>
      <c r="D41" s="42"/>
      <c r="E41" s="42"/>
      <c r="F41" s="19"/>
      <c r="G41" s="18"/>
      <c r="H41" s="20"/>
      <c r="I41" s="21"/>
      <c r="J41" s="23"/>
      <c r="K41" s="23"/>
      <c r="L41" s="23"/>
      <c r="M41" s="23"/>
      <c r="N41" s="23"/>
      <c r="O41" s="23"/>
      <c r="P41" s="23"/>
      <c r="Q41" s="23"/>
      <c r="R41" s="23"/>
      <c r="S41" s="23"/>
      <c r="T41" s="23"/>
      <c r="U41" s="23"/>
      <c r="V41" s="23"/>
      <c r="W41" s="23"/>
    </row>
    <row r="42" spans="1:23" ht="19.5" customHeight="1" x14ac:dyDescent="0.25">
      <c r="A42" s="50"/>
      <c r="B42" s="22"/>
      <c r="C42" s="24" t="s">
        <v>159</v>
      </c>
      <c r="D42" s="42"/>
      <c r="E42" s="42"/>
      <c r="F42" s="19"/>
      <c r="G42" s="18"/>
      <c r="H42" s="20"/>
      <c r="I42" s="21"/>
      <c r="J42" s="23"/>
      <c r="K42" s="23"/>
      <c r="L42" s="23"/>
      <c r="M42" s="23"/>
      <c r="N42" s="23"/>
      <c r="O42" s="23"/>
      <c r="P42" s="23"/>
      <c r="Q42" s="23"/>
      <c r="R42" s="23"/>
      <c r="S42" s="23"/>
      <c r="T42" s="23"/>
      <c r="U42" s="23"/>
      <c r="V42" s="23"/>
      <c r="W42" s="23"/>
    </row>
    <row r="43" spans="1:23" ht="17.25" customHeight="1" x14ac:dyDescent="0.25">
      <c r="A43" s="50"/>
      <c r="B43" s="22"/>
      <c r="C43" s="24" t="s">
        <v>159</v>
      </c>
      <c r="D43" s="42"/>
      <c r="E43" s="42"/>
      <c r="F43" s="19"/>
      <c r="G43" s="18"/>
      <c r="H43" s="20"/>
      <c r="I43" s="21"/>
      <c r="J43" s="23"/>
      <c r="K43" s="23"/>
      <c r="L43" s="23"/>
      <c r="M43" s="23"/>
      <c r="N43" s="23"/>
      <c r="O43" s="23"/>
      <c r="P43" s="23"/>
      <c r="Q43" s="23"/>
      <c r="R43" s="23"/>
      <c r="S43" s="23"/>
      <c r="T43" s="23"/>
      <c r="U43" s="23"/>
      <c r="V43" s="23"/>
      <c r="W43" s="23"/>
    </row>
    <row r="44" spans="1:23" ht="17.25" customHeight="1" x14ac:dyDescent="0.25">
      <c r="A44" s="50"/>
      <c r="B44" s="22"/>
      <c r="C44" s="24"/>
      <c r="D44" s="42"/>
      <c r="E44" s="42"/>
      <c r="F44" s="19"/>
      <c r="G44" s="18"/>
      <c r="H44" s="20"/>
      <c r="I44" s="21"/>
      <c r="J44" s="23"/>
      <c r="K44" s="23"/>
      <c r="L44" s="23"/>
      <c r="M44" s="23"/>
      <c r="N44" s="23"/>
      <c r="O44" s="23"/>
      <c r="P44" s="23"/>
      <c r="Q44" s="23"/>
      <c r="R44" s="23"/>
      <c r="S44" s="23"/>
      <c r="T44" s="23"/>
      <c r="U44" s="23"/>
      <c r="V44" s="23"/>
      <c r="W44" s="23"/>
    </row>
    <row r="45" spans="1:23" ht="17.25" customHeight="1" x14ac:dyDescent="0.25">
      <c r="A45" s="50"/>
      <c r="B45" s="22"/>
      <c r="C45" s="24"/>
      <c r="D45" s="42"/>
      <c r="E45" s="42"/>
      <c r="F45" s="19"/>
      <c r="G45" s="18"/>
      <c r="H45" s="20"/>
      <c r="I45" s="21"/>
      <c r="J45" s="23"/>
      <c r="K45" s="23"/>
      <c r="L45" s="23"/>
      <c r="M45" s="23"/>
      <c r="N45" s="23"/>
      <c r="O45" s="23"/>
      <c r="P45" s="23"/>
      <c r="Q45" s="23"/>
      <c r="R45" s="23"/>
      <c r="S45" s="23"/>
      <c r="T45" s="23"/>
      <c r="U45" s="23"/>
      <c r="V45" s="23"/>
      <c r="W45" s="23"/>
    </row>
    <row r="46" spans="1:23" ht="17.25" customHeight="1" x14ac:dyDescent="0.25">
      <c r="A46" s="50"/>
      <c r="B46" s="22"/>
      <c r="C46" s="24"/>
      <c r="D46" s="42"/>
      <c r="E46" s="42"/>
      <c r="F46" s="19"/>
      <c r="G46" s="18"/>
      <c r="H46" s="20"/>
      <c r="I46" s="21"/>
      <c r="J46" s="23"/>
      <c r="K46" s="23"/>
      <c r="L46" s="23"/>
      <c r="M46" s="23"/>
      <c r="N46" s="23"/>
      <c r="O46" s="23"/>
      <c r="P46" s="23"/>
      <c r="Q46" s="23"/>
      <c r="R46" s="23"/>
      <c r="S46" s="23"/>
      <c r="T46" s="23"/>
      <c r="U46" s="23"/>
      <c r="V46" s="23"/>
      <c r="W46" s="23"/>
    </row>
    <row r="47" spans="1:23" ht="17.25" customHeight="1" x14ac:dyDescent="0.25">
      <c r="A47" s="50"/>
      <c r="B47" s="22"/>
      <c r="C47" s="24"/>
      <c r="D47" s="42"/>
      <c r="E47" s="42"/>
      <c r="F47" s="19"/>
      <c r="G47" s="18"/>
      <c r="H47" s="20"/>
      <c r="I47" s="21"/>
      <c r="J47" s="23"/>
      <c r="K47" s="23"/>
      <c r="L47" s="23"/>
      <c r="M47" s="23"/>
      <c r="N47" s="23"/>
      <c r="O47" s="23"/>
      <c r="P47" s="23"/>
      <c r="Q47" s="23"/>
      <c r="R47" s="23"/>
      <c r="S47" s="23"/>
      <c r="T47" s="23"/>
      <c r="U47" s="23"/>
      <c r="V47" s="23"/>
      <c r="W47" s="23"/>
    </row>
    <row r="48" spans="1:23" ht="15.75" customHeight="1" x14ac:dyDescent="0.25">
      <c r="A48" s="50"/>
      <c r="B48" s="22"/>
      <c r="C48" s="24" t="s">
        <v>159</v>
      </c>
      <c r="D48" s="42"/>
      <c r="E48" s="42"/>
      <c r="F48" s="19"/>
      <c r="G48" s="18"/>
      <c r="H48" s="20"/>
      <c r="I48" s="21"/>
      <c r="J48" s="23"/>
      <c r="K48" s="23"/>
      <c r="L48" s="23"/>
      <c r="M48" s="23"/>
      <c r="N48" s="23"/>
      <c r="O48" s="23"/>
      <c r="P48" s="23"/>
      <c r="Q48" s="23"/>
      <c r="R48" s="23"/>
      <c r="S48" s="23"/>
      <c r="T48" s="23"/>
      <c r="U48" s="23"/>
      <c r="V48" s="23"/>
      <c r="W48" s="23"/>
    </row>
    <row r="49" spans="1:23" ht="18.75" customHeight="1" x14ac:dyDescent="0.25">
      <c r="A49" s="50"/>
      <c r="B49" s="22"/>
      <c r="C49" s="24" t="s">
        <v>159</v>
      </c>
      <c r="D49" s="42"/>
      <c r="E49" s="42"/>
      <c r="F49" s="19"/>
      <c r="G49" s="18"/>
      <c r="H49" s="20"/>
      <c r="I49" s="21"/>
      <c r="J49" s="23"/>
      <c r="K49" s="23"/>
      <c r="L49" s="23"/>
      <c r="M49" s="23"/>
      <c r="N49" s="23"/>
      <c r="O49" s="23"/>
      <c r="P49" s="23"/>
      <c r="Q49" s="23"/>
      <c r="R49" s="23"/>
      <c r="S49" s="23"/>
      <c r="T49" s="23"/>
      <c r="U49" s="23"/>
      <c r="V49" s="23"/>
      <c r="W49" s="23"/>
    </row>
    <row r="50" spans="1:23" ht="19.5" customHeight="1" x14ac:dyDescent="0.25">
      <c r="A50" s="50"/>
      <c r="B50" s="22"/>
      <c r="C50" s="24" t="s">
        <v>159</v>
      </c>
      <c r="D50" s="42"/>
      <c r="E50" s="42"/>
      <c r="F50" s="19"/>
      <c r="G50" s="18"/>
      <c r="H50" s="20"/>
      <c r="I50" s="21"/>
      <c r="J50" s="23"/>
      <c r="K50" s="23"/>
      <c r="L50" s="23"/>
      <c r="M50" s="23"/>
      <c r="N50" s="23"/>
      <c r="O50" s="23"/>
      <c r="P50" s="23"/>
      <c r="Q50" s="23"/>
      <c r="R50" s="23"/>
      <c r="S50" s="23"/>
      <c r="T50" s="23"/>
      <c r="U50" s="23"/>
      <c r="V50" s="23"/>
      <c r="W50" s="23"/>
    </row>
    <row r="51" spans="1:23" ht="19.5" customHeight="1" x14ac:dyDescent="0.25">
      <c r="A51" s="50"/>
      <c r="B51" s="22"/>
      <c r="C51" s="24"/>
      <c r="D51" s="42"/>
      <c r="E51" s="42"/>
      <c r="F51" s="19"/>
      <c r="G51" s="18"/>
      <c r="H51" s="20"/>
      <c r="I51" s="21"/>
      <c r="J51" s="23"/>
      <c r="K51" s="23"/>
      <c r="L51" s="23"/>
      <c r="M51" s="23"/>
      <c r="N51" s="23"/>
      <c r="O51" s="23"/>
      <c r="P51" s="23"/>
      <c r="Q51" s="23"/>
      <c r="R51" s="23"/>
      <c r="S51" s="23"/>
      <c r="T51" s="23"/>
      <c r="U51" s="23"/>
      <c r="V51" s="23"/>
      <c r="W51" s="23"/>
    </row>
    <row r="52" spans="1:23" ht="19.5" customHeight="1" x14ac:dyDescent="0.25">
      <c r="A52" s="50"/>
      <c r="B52" s="22"/>
      <c r="C52" s="24"/>
      <c r="D52" s="42"/>
      <c r="E52" s="42"/>
      <c r="F52" s="19"/>
      <c r="G52" s="18"/>
      <c r="H52" s="20"/>
      <c r="I52" s="21"/>
      <c r="J52" s="23"/>
      <c r="K52" s="23"/>
      <c r="L52" s="23"/>
      <c r="M52" s="23"/>
      <c r="N52" s="23"/>
      <c r="O52" s="23"/>
      <c r="P52" s="23"/>
      <c r="Q52" s="23"/>
      <c r="R52" s="23"/>
      <c r="S52" s="23"/>
      <c r="T52" s="23"/>
      <c r="U52" s="23"/>
      <c r="V52" s="23"/>
      <c r="W52" s="23"/>
    </row>
    <row r="53" spans="1:23" ht="19.5" customHeight="1" x14ac:dyDescent="0.25">
      <c r="A53" s="50"/>
      <c r="B53" s="22"/>
      <c r="C53" s="24"/>
      <c r="D53" s="42"/>
      <c r="E53" s="42"/>
      <c r="F53" s="19"/>
      <c r="G53" s="18"/>
      <c r="H53" s="20"/>
      <c r="I53" s="21"/>
      <c r="J53" s="23"/>
      <c r="K53" s="23"/>
      <c r="L53" s="23"/>
      <c r="M53" s="23"/>
      <c r="N53" s="23"/>
      <c r="O53" s="23"/>
      <c r="P53" s="23"/>
      <c r="Q53" s="23"/>
      <c r="R53" s="23"/>
      <c r="S53" s="23"/>
      <c r="T53" s="23"/>
      <c r="U53" s="23"/>
      <c r="V53" s="23"/>
      <c r="W53" s="23"/>
    </row>
    <row r="54" spans="1:23" ht="19.5" customHeight="1" x14ac:dyDescent="0.25">
      <c r="A54" s="50"/>
      <c r="B54" s="22"/>
      <c r="C54" s="24"/>
      <c r="D54" s="42"/>
      <c r="E54" s="42"/>
      <c r="F54" s="19"/>
      <c r="G54" s="18"/>
      <c r="H54" s="20"/>
      <c r="I54" s="21"/>
      <c r="J54" s="23"/>
      <c r="K54" s="23"/>
      <c r="L54" s="23"/>
      <c r="M54" s="23"/>
      <c r="N54" s="23"/>
      <c r="O54" s="23"/>
      <c r="P54" s="23"/>
      <c r="Q54" s="23"/>
      <c r="R54" s="23"/>
      <c r="S54" s="23"/>
      <c r="T54" s="23"/>
      <c r="U54" s="23"/>
      <c r="V54" s="23"/>
      <c r="W54" s="23"/>
    </row>
    <row r="55" spans="1:23" ht="20.25" customHeight="1" x14ac:dyDescent="0.25">
      <c r="A55" s="50"/>
      <c r="B55" s="22"/>
      <c r="C55" s="24" t="s">
        <v>159</v>
      </c>
      <c r="D55" s="42"/>
      <c r="E55" s="42"/>
      <c r="F55" s="19"/>
      <c r="G55" s="18"/>
      <c r="H55" s="20"/>
      <c r="I55" s="21"/>
      <c r="J55" s="23"/>
      <c r="K55" s="23"/>
      <c r="L55" s="23"/>
      <c r="M55" s="23"/>
      <c r="N55" s="23"/>
      <c r="O55" s="23"/>
      <c r="P55" s="23"/>
      <c r="Q55" s="23"/>
      <c r="R55" s="23"/>
      <c r="S55" s="23"/>
      <c r="T55" s="23"/>
      <c r="U55" s="23"/>
      <c r="V55" s="23"/>
      <c r="W55" s="23"/>
    </row>
    <row r="56" spans="1:23" ht="18" customHeight="1" x14ac:dyDescent="0.25">
      <c r="A56" s="50"/>
      <c r="B56" s="22"/>
      <c r="C56" s="24" t="s">
        <v>159</v>
      </c>
      <c r="D56" s="42"/>
      <c r="E56" s="42"/>
      <c r="F56" s="19"/>
      <c r="G56" s="18"/>
      <c r="H56" s="20"/>
      <c r="I56" s="21"/>
      <c r="J56" s="23"/>
      <c r="K56" s="23"/>
      <c r="L56" s="23"/>
      <c r="M56" s="23"/>
      <c r="N56" s="23"/>
      <c r="O56" s="23"/>
      <c r="P56" s="23"/>
      <c r="Q56" s="23"/>
      <c r="R56" s="23"/>
      <c r="S56" s="23"/>
      <c r="T56" s="23"/>
      <c r="U56" s="23"/>
      <c r="V56" s="23"/>
      <c r="W56" s="23"/>
    </row>
    <row r="57" spans="1:23" ht="17.25" customHeight="1" x14ac:dyDescent="0.25">
      <c r="A57" s="50"/>
      <c r="B57" s="22"/>
      <c r="C57" s="24" t="s">
        <v>159</v>
      </c>
      <c r="D57" s="42"/>
      <c r="E57" s="42"/>
      <c r="F57" s="19"/>
      <c r="G57" s="18"/>
      <c r="H57" s="20"/>
      <c r="I57" s="21"/>
      <c r="J57" s="23"/>
      <c r="K57" s="23"/>
      <c r="L57" s="23"/>
      <c r="M57" s="23"/>
      <c r="N57" s="23"/>
      <c r="O57" s="23"/>
      <c r="P57" s="23"/>
      <c r="Q57" s="23"/>
      <c r="R57" s="23"/>
      <c r="S57" s="23"/>
      <c r="T57" s="23"/>
      <c r="U57" s="23"/>
      <c r="V57" s="23"/>
      <c r="W57" s="23"/>
    </row>
    <row r="58" spans="1:23" ht="17.25" customHeight="1" x14ac:dyDescent="0.25">
      <c r="A58" s="50"/>
      <c r="B58" s="22"/>
      <c r="C58" s="24"/>
      <c r="D58" s="42"/>
      <c r="E58" s="42"/>
      <c r="F58" s="19"/>
      <c r="G58" s="18"/>
      <c r="H58" s="20"/>
      <c r="I58" s="21"/>
      <c r="J58" s="23"/>
      <c r="K58" s="23"/>
      <c r="L58" s="23"/>
      <c r="M58" s="23"/>
      <c r="N58" s="23"/>
      <c r="O58" s="23"/>
      <c r="P58" s="23"/>
      <c r="Q58" s="23"/>
      <c r="R58" s="23"/>
      <c r="S58" s="23"/>
      <c r="T58" s="23"/>
      <c r="U58" s="23"/>
      <c r="V58" s="23"/>
      <c r="W58" s="23"/>
    </row>
    <row r="59" spans="1:23" ht="17.25" customHeight="1" x14ac:dyDescent="0.25">
      <c r="A59" s="50"/>
      <c r="B59" s="22"/>
      <c r="C59" s="24"/>
      <c r="D59" s="42"/>
      <c r="E59" s="42"/>
      <c r="F59" s="19"/>
      <c r="G59" s="18"/>
      <c r="H59" s="20"/>
      <c r="I59" s="21"/>
      <c r="J59" s="23"/>
      <c r="K59" s="23"/>
      <c r="L59" s="23"/>
      <c r="M59" s="23"/>
      <c r="N59" s="23"/>
      <c r="O59" s="23"/>
      <c r="P59" s="23"/>
      <c r="Q59" s="23"/>
      <c r="R59" s="23"/>
      <c r="S59" s="23"/>
      <c r="T59" s="23"/>
      <c r="U59" s="23"/>
      <c r="V59" s="23"/>
      <c r="W59" s="23"/>
    </row>
    <row r="60" spans="1:23" ht="17.25" customHeight="1" x14ac:dyDescent="0.25">
      <c r="A60" s="50"/>
      <c r="B60" s="22"/>
      <c r="C60" s="24"/>
      <c r="D60" s="42"/>
      <c r="E60" s="42"/>
      <c r="F60" s="19"/>
      <c r="G60" s="18"/>
      <c r="H60" s="20"/>
      <c r="I60" s="21"/>
      <c r="J60" s="23"/>
      <c r="K60" s="23"/>
      <c r="L60" s="23"/>
      <c r="M60" s="23"/>
      <c r="N60" s="23"/>
      <c r="O60" s="23"/>
      <c r="P60" s="23"/>
      <c r="Q60" s="23"/>
      <c r="R60" s="23"/>
      <c r="S60" s="23"/>
      <c r="T60" s="23"/>
      <c r="U60" s="23"/>
      <c r="V60" s="23"/>
      <c r="W60" s="23"/>
    </row>
    <row r="61" spans="1:23" ht="17.25" customHeight="1" x14ac:dyDescent="0.25">
      <c r="A61" s="50"/>
      <c r="B61" s="22"/>
      <c r="C61" s="24"/>
      <c r="D61" s="42"/>
      <c r="E61" s="42"/>
      <c r="F61" s="19"/>
      <c r="G61" s="18"/>
      <c r="H61" s="20"/>
      <c r="I61" s="21"/>
      <c r="J61" s="23"/>
      <c r="K61" s="23"/>
      <c r="L61" s="23"/>
      <c r="M61" s="23"/>
      <c r="N61" s="23"/>
      <c r="O61" s="23"/>
      <c r="P61" s="23"/>
      <c r="Q61" s="23"/>
      <c r="R61" s="23"/>
      <c r="S61" s="23"/>
      <c r="T61" s="23"/>
      <c r="U61" s="23"/>
      <c r="V61" s="23"/>
      <c r="W61" s="23"/>
    </row>
    <row r="62" spans="1:23" ht="18.75" customHeight="1" x14ac:dyDescent="0.25">
      <c r="A62" s="50"/>
      <c r="B62" s="22"/>
      <c r="C62" s="24" t="s">
        <v>159</v>
      </c>
      <c r="D62" s="42"/>
      <c r="E62" s="42"/>
      <c r="F62" s="19"/>
      <c r="G62" s="18"/>
      <c r="H62" s="20"/>
      <c r="I62" s="21"/>
      <c r="J62" s="23"/>
      <c r="K62" s="23"/>
      <c r="L62" s="23"/>
      <c r="M62" s="23"/>
      <c r="N62" s="23"/>
      <c r="O62" s="23"/>
      <c r="P62" s="23"/>
      <c r="Q62" s="23"/>
      <c r="R62" s="23"/>
      <c r="S62" s="23"/>
      <c r="T62" s="23"/>
      <c r="U62" s="23"/>
      <c r="V62" s="23"/>
      <c r="W62" s="23"/>
    </row>
    <row r="63" spans="1:23" ht="18.75" customHeight="1" x14ac:dyDescent="0.25">
      <c r="A63" s="50"/>
      <c r="B63" s="22"/>
      <c r="C63" s="24" t="s">
        <v>159</v>
      </c>
      <c r="D63" s="42"/>
      <c r="E63" s="42"/>
      <c r="F63" s="19"/>
      <c r="G63" s="18"/>
      <c r="H63" s="20"/>
      <c r="I63" s="21"/>
      <c r="J63" s="23"/>
      <c r="K63" s="23"/>
      <c r="L63" s="23"/>
      <c r="M63" s="23"/>
      <c r="N63" s="23"/>
      <c r="O63" s="23"/>
      <c r="P63" s="23"/>
      <c r="Q63" s="23"/>
      <c r="R63" s="23"/>
      <c r="S63" s="23"/>
      <c r="T63" s="23"/>
      <c r="U63" s="23"/>
      <c r="V63" s="23"/>
      <c r="W63" s="23"/>
    </row>
    <row r="64" spans="1:23" ht="18.75" customHeight="1" x14ac:dyDescent="0.25">
      <c r="A64" s="50"/>
      <c r="B64" s="22"/>
      <c r="C64" s="24"/>
      <c r="D64" s="42"/>
      <c r="E64" s="42"/>
      <c r="F64" s="19"/>
      <c r="G64" s="18"/>
      <c r="H64" s="20"/>
      <c r="I64" s="21"/>
      <c r="J64" s="23"/>
      <c r="K64" s="23"/>
      <c r="L64" s="23"/>
      <c r="M64" s="23"/>
      <c r="N64" s="23"/>
      <c r="O64" s="23"/>
      <c r="P64" s="23"/>
      <c r="Q64" s="23"/>
      <c r="R64" s="23"/>
      <c r="S64" s="23"/>
      <c r="T64" s="23"/>
      <c r="U64" s="23"/>
      <c r="V64" s="23"/>
      <c r="W64" s="23"/>
    </row>
    <row r="65" spans="1:23" ht="18.75" customHeight="1" x14ac:dyDescent="0.25">
      <c r="A65" s="50"/>
      <c r="B65" s="22"/>
      <c r="C65" s="24"/>
      <c r="D65" s="42"/>
      <c r="E65" s="42"/>
      <c r="F65" s="19"/>
      <c r="G65" s="18"/>
      <c r="H65" s="20"/>
      <c r="I65" s="21"/>
      <c r="J65" s="23"/>
      <c r="K65" s="23"/>
      <c r="L65" s="23"/>
      <c r="M65" s="23"/>
      <c r="N65" s="23"/>
      <c r="O65" s="23"/>
      <c r="P65" s="23"/>
      <c r="Q65" s="23"/>
      <c r="R65" s="23"/>
      <c r="S65" s="23"/>
      <c r="T65" s="23"/>
      <c r="U65" s="23"/>
      <c r="V65" s="23"/>
      <c r="W65" s="23"/>
    </row>
    <row r="66" spans="1:23" ht="18.75" customHeight="1" x14ac:dyDescent="0.25">
      <c r="A66" s="50"/>
      <c r="B66" s="22"/>
      <c r="C66" s="24"/>
      <c r="D66" s="42"/>
      <c r="E66" s="42"/>
      <c r="F66" s="19"/>
      <c r="G66" s="18"/>
      <c r="H66" s="20"/>
      <c r="I66" s="21"/>
      <c r="J66" s="23"/>
      <c r="K66" s="23"/>
      <c r="L66" s="23"/>
      <c r="M66" s="23"/>
      <c r="N66" s="23"/>
      <c r="O66" s="23"/>
      <c r="P66" s="23"/>
      <c r="Q66" s="23"/>
      <c r="R66" s="23"/>
      <c r="S66" s="23"/>
      <c r="T66" s="23"/>
      <c r="U66" s="23"/>
      <c r="V66" s="23"/>
      <c r="W66" s="23"/>
    </row>
    <row r="67" spans="1:23" ht="18" customHeight="1" x14ac:dyDescent="0.25">
      <c r="A67" s="50"/>
      <c r="B67" s="22"/>
      <c r="C67" s="24" t="s">
        <v>159</v>
      </c>
      <c r="D67" s="42"/>
      <c r="E67" s="42"/>
      <c r="F67" s="19"/>
      <c r="G67" s="18"/>
      <c r="H67" s="20"/>
      <c r="I67" s="21"/>
      <c r="J67" s="23"/>
      <c r="K67" s="23"/>
      <c r="L67" s="23"/>
      <c r="M67" s="23"/>
      <c r="N67" s="23"/>
      <c r="O67" s="23"/>
      <c r="P67" s="23"/>
      <c r="Q67" s="23"/>
      <c r="R67" s="23"/>
      <c r="S67" s="23"/>
      <c r="T67" s="23"/>
      <c r="U67" s="23"/>
      <c r="V67" s="23"/>
      <c r="W67" s="23"/>
    </row>
    <row r="68" spans="1:23" ht="18" customHeight="1" x14ac:dyDescent="0.25">
      <c r="A68" s="50"/>
      <c r="B68" s="22"/>
      <c r="C68" s="24"/>
      <c r="D68" s="42"/>
      <c r="E68" s="42"/>
      <c r="F68" s="19"/>
      <c r="G68" s="18"/>
      <c r="H68" s="20"/>
      <c r="I68" s="21"/>
      <c r="J68" s="23"/>
      <c r="K68" s="23"/>
      <c r="L68" s="23"/>
      <c r="M68" s="23"/>
      <c r="N68" s="23"/>
      <c r="O68" s="23"/>
      <c r="P68" s="23"/>
      <c r="Q68" s="23"/>
      <c r="R68" s="23"/>
      <c r="S68" s="23"/>
      <c r="T68" s="23"/>
      <c r="U68" s="23"/>
      <c r="V68" s="23"/>
      <c r="W68" s="23"/>
    </row>
    <row r="69" spans="1:23" ht="24" customHeight="1" x14ac:dyDescent="0.25">
      <c r="A69" s="50"/>
      <c r="B69" s="22"/>
      <c r="C69" s="24" t="s">
        <v>159</v>
      </c>
      <c r="D69" s="42"/>
      <c r="E69" s="42"/>
      <c r="F69" s="19"/>
      <c r="G69" s="18"/>
      <c r="H69" s="20"/>
      <c r="I69" s="21"/>
      <c r="J69" s="23"/>
      <c r="K69" s="23"/>
      <c r="L69" s="23"/>
      <c r="M69" s="23"/>
      <c r="N69" s="23"/>
      <c r="O69" s="23"/>
      <c r="P69" s="23"/>
      <c r="Q69" s="23"/>
      <c r="R69" s="23"/>
      <c r="S69" s="23"/>
      <c r="T69" s="23"/>
      <c r="U69" s="23"/>
      <c r="V69" s="23"/>
      <c r="W69" s="23"/>
    </row>
    <row r="70" spans="1:23" ht="24" customHeight="1" x14ac:dyDescent="0.25">
      <c r="A70" s="25"/>
      <c r="B70" s="26"/>
      <c r="C70" s="27"/>
      <c r="D70" s="29"/>
      <c r="E70" s="29"/>
      <c r="F70" s="28"/>
      <c r="G70" s="28"/>
      <c r="H70" s="29"/>
      <c r="I70" s="30"/>
      <c r="J70" s="30"/>
      <c r="K70" s="30"/>
      <c r="L70" s="30"/>
    </row>
    <row r="72" spans="1:23" ht="53.25" customHeight="1" x14ac:dyDescent="0.2"/>
    <row r="73" spans="1:23" ht="42" customHeight="1" x14ac:dyDescent="0.2"/>
    <row r="74" spans="1:23" ht="42" customHeight="1" x14ac:dyDescent="0.2"/>
    <row r="75" spans="1:23" ht="21.75" customHeight="1" x14ac:dyDescent="0.2"/>
    <row r="76" spans="1:23" ht="18.75" customHeight="1" x14ac:dyDescent="0.2"/>
    <row r="77" spans="1:23" ht="21.75" customHeight="1" x14ac:dyDescent="0.2"/>
    <row r="78" spans="1:23" ht="18.75" customHeight="1" x14ac:dyDescent="0.2"/>
    <row r="79" spans="1:23" ht="18" customHeight="1" x14ac:dyDescent="0.2"/>
    <row r="80" spans="1:23" ht="21" customHeight="1" x14ac:dyDescent="0.2"/>
    <row r="81" ht="16.5" customHeight="1" x14ac:dyDescent="0.2"/>
    <row r="82" ht="19.5" customHeight="1" x14ac:dyDescent="0.2"/>
    <row r="83" ht="19.5" customHeight="1" x14ac:dyDescent="0.2"/>
    <row r="84" ht="18.75" customHeight="1" x14ac:dyDescent="0.2"/>
    <row r="85" ht="11.25" customHeight="1" x14ac:dyDescent="0.2"/>
    <row r="86" ht="11.25" customHeight="1" x14ac:dyDescent="0.2"/>
    <row r="103" ht="17.25" customHeight="1" x14ac:dyDescent="0.2"/>
    <row r="104" ht="21" customHeight="1" x14ac:dyDescent="0.2"/>
    <row r="105" ht="21" customHeight="1" x14ac:dyDescent="0.2"/>
    <row r="106" ht="22.5" customHeight="1" x14ac:dyDescent="0.2"/>
  </sheetData>
  <sheetProtection password="E403" sheet="1" objects="1" scenarios="1" formatCells="0" formatRows="0" insertRows="0" deleteRows="0"/>
  <mergeCells count="9">
    <mergeCell ref="A4:W4"/>
    <mergeCell ref="D2:D3"/>
    <mergeCell ref="B2:B3"/>
    <mergeCell ref="A2:A3"/>
    <mergeCell ref="C2:C3"/>
    <mergeCell ref="F2:F3"/>
    <mergeCell ref="E2:E3"/>
    <mergeCell ref="H2:H3"/>
    <mergeCell ref="G2:G3"/>
  </mergeCells>
  <phoneticPr fontId="10" type="noConversion"/>
  <dataValidations count="9">
    <dataValidation type="list" allowBlank="1" showInputMessage="1" showErrorMessage="1" sqref="F107:F65536" xr:uid="{00000000-0002-0000-0100-000000000000}">
      <formula1>Team</formula1>
    </dataValidation>
    <dataValidation type="list" allowBlank="1" showInputMessage="1" showErrorMessage="1" sqref="G107:G65536" xr:uid="{00000000-0002-0000-0100-000001000000}">
      <formula1>Category</formula1>
    </dataValidation>
    <dataValidation type="list" allowBlank="1" showInputMessage="1" showErrorMessage="1" sqref="G70" xr:uid="{00000000-0002-0000-0100-000002000000}">
      <formula1>"Build, Unit Test, System Test, Coding, General , Integration"</formula1>
    </dataValidation>
    <dataValidation type="list" allowBlank="1" showInputMessage="1" showErrorMessage="1" sqref="H70 H107:H65536" xr:uid="{00000000-0002-0000-0100-000003000000}">
      <formula1>Status</formula1>
    </dataValidation>
    <dataValidation type="decimal" operator="lessThanOrEqual" allowBlank="1" showInputMessage="1" showErrorMessage="1" sqref="I10:I11 I21:I22 J6:J9 J10:J11 J13:J22 J26:L70 K5 K7:K8 K10:K12 K14:K22 L5:L6 L8 L9 L10:L13 L15:L22 M5:M7 M9 M10:M14 M16:M22 M26:Q69 N5:N8 N10:N15 N17:N22 O5:Q9 O11:O16 O18:O22 P10 P12:P17 P19:P22 Q10:Q18 Q20:Q22 R5:R19 R21:R69 S5:S20 S23:S69 T5:W69" xr:uid="{00000000-0002-0000-0100-000004000000}">
      <formula1>H5</formula1>
    </dataValidation>
    <dataValidation type="list" allowBlank="1" showInputMessage="1" showErrorMessage="1" sqref="F10:F11 F18 F20 F22 H7:H11 H15 H18 H20 H22:H69" xr:uid="{00000000-0002-0000-0100-000005000000}">
      <formula1>"1- Not Started, 2- In Progress, 3- Completed"</formula1>
    </dataValidation>
    <dataValidation type="decimal" allowBlank="1" showInputMessage="1" showErrorMessage="1" sqref="I7 I26 I29:I69" xr:uid="{00000000-0002-0000-0100-000006000000}">
      <formula1>0</formula1>
      <formula2>12</formula2>
    </dataValidation>
    <dataValidation type="list" allowBlank="1" showInputMessage="1" showErrorMessage="1" sqref="E11 E20 G18 G10 G23 G26 G30:G69" xr:uid="{00000000-0002-0000-0100-000007000000}">
      <formula1>"Build, Coding, Design, Integration Test, Regression Test, System Test, Unit Test, Others"</formula1>
    </dataValidation>
    <dataValidation type="decimal" operator="lessThanOrEqual" allowBlank="1" showInputMessage="1" showErrorMessage="1" sqref="I9" xr:uid="{00000000-0002-0000-0100-000008000000}">
      <formula1>#REF!</formula1>
    </dataValidation>
  </dataValidations>
  <pageMargins left="0.75" right="0.75" top="1" bottom="1" header="0.5" footer="0.5"/>
  <pageSetup orientation="portrait"/>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5"/>
  <dimension ref="A1:G25"/>
  <sheetViews>
    <sheetView workbookViewId="0">
      <pane ySplit="1" topLeftCell="A19" activePane="bottomLeft" state="frozen"/>
      <selection pane="bottomLeft" activeCell="A25" sqref="A25"/>
    </sheetView>
  </sheetViews>
  <sheetFormatPr defaultRowHeight="13.2" x14ac:dyDescent="0.25"/>
  <cols>
    <col min="3" max="3" width="41.5546875" customWidth="1"/>
    <col min="4" max="4" width="27" customWidth="1"/>
    <col min="5" max="5" width="33.44140625" customWidth="1"/>
  </cols>
  <sheetData>
    <row r="1" spans="1:7" ht="49.5" customHeight="1" x14ac:dyDescent="0.25">
      <c r="A1" s="36" t="s">
        <v>160</v>
      </c>
      <c r="B1" s="36" t="s">
        <v>161</v>
      </c>
      <c r="C1" s="36" t="s">
        <v>162</v>
      </c>
      <c r="D1" s="36" t="s">
        <v>163</v>
      </c>
      <c r="E1" s="13"/>
      <c r="F1" s="13"/>
      <c r="G1" s="13"/>
    </row>
    <row r="2" spans="1:7" ht="39.6" customHeight="1" x14ac:dyDescent="0.25">
      <c r="A2" t="s">
        <v>9</v>
      </c>
      <c r="B2" t="s">
        <v>80</v>
      </c>
      <c r="C2" t="s">
        <v>164</v>
      </c>
      <c r="D2" s="54" t="s">
        <v>165</v>
      </c>
    </row>
    <row r="3" spans="1:7" ht="39.6" customHeight="1" x14ac:dyDescent="0.25">
      <c r="A3" s="52" t="s">
        <v>9</v>
      </c>
      <c r="B3" t="s">
        <v>81</v>
      </c>
      <c r="C3" t="s">
        <v>166</v>
      </c>
      <c r="D3" s="52" t="s">
        <v>167</v>
      </c>
    </row>
    <row r="4" spans="1:7" ht="26.4" customHeight="1" x14ac:dyDescent="0.25">
      <c r="A4" t="s">
        <v>9</v>
      </c>
      <c r="B4" t="s">
        <v>82</v>
      </c>
      <c r="C4" s="54" t="s">
        <v>168</v>
      </c>
      <c r="D4" s="54" t="s">
        <v>169</v>
      </c>
    </row>
    <row r="5" spans="1:7" ht="26.4" customHeight="1" x14ac:dyDescent="0.25">
      <c r="A5" t="s">
        <v>9</v>
      </c>
      <c r="B5" t="s">
        <v>83</v>
      </c>
      <c r="C5" s="54" t="s">
        <v>170</v>
      </c>
      <c r="D5" s="54" t="s">
        <v>171</v>
      </c>
    </row>
    <row r="6" spans="1:7" ht="26.4" customHeight="1" x14ac:dyDescent="0.25">
      <c r="A6" t="s">
        <v>9</v>
      </c>
      <c r="B6" t="s">
        <v>84</v>
      </c>
      <c r="C6" s="54" t="s">
        <v>172</v>
      </c>
      <c r="D6" s="54" t="s">
        <v>173</v>
      </c>
    </row>
    <row r="7" spans="1:7" ht="26.4" customHeight="1" x14ac:dyDescent="0.25">
      <c r="A7" t="s">
        <v>9</v>
      </c>
      <c r="B7" t="s">
        <v>85</v>
      </c>
      <c r="C7" s="54" t="s">
        <v>174</v>
      </c>
      <c r="D7" s="54" t="s">
        <v>175</v>
      </c>
    </row>
    <row r="8" spans="1:7" ht="26.4" customHeight="1" x14ac:dyDescent="0.25">
      <c r="A8" t="s">
        <v>9</v>
      </c>
      <c r="B8" t="s">
        <v>86</v>
      </c>
      <c r="C8" s="54" t="s">
        <v>176</v>
      </c>
      <c r="D8" s="54" t="s">
        <v>177</v>
      </c>
    </row>
    <row r="9" spans="1:7" ht="26.4" customHeight="1" x14ac:dyDescent="0.25">
      <c r="A9" t="s">
        <v>15</v>
      </c>
      <c r="B9" t="s">
        <v>80</v>
      </c>
      <c r="C9" s="54" t="s">
        <v>178</v>
      </c>
      <c r="D9" s="54" t="s">
        <v>179</v>
      </c>
    </row>
    <row r="10" spans="1:7" ht="26.4" customHeight="1" x14ac:dyDescent="0.25">
      <c r="A10" t="s">
        <v>15</v>
      </c>
      <c r="B10" t="s">
        <v>81</v>
      </c>
      <c r="C10" s="54" t="s">
        <v>180</v>
      </c>
      <c r="D10" s="54" t="s">
        <v>181</v>
      </c>
    </row>
    <row r="11" spans="1:7" ht="26.4" customHeight="1" x14ac:dyDescent="0.25">
      <c r="A11" t="s">
        <v>15</v>
      </c>
      <c r="B11" t="s">
        <v>82</v>
      </c>
      <c r="C11" s="54" t="s">
        <v>182</v>
      </c>
      <c r="D11" s="54" t="s">
        <v>183</v>
      </c>
    </row>
    <row r="12" spans="1:7" ht="26.4" customHeight="1" x14ac:dyDescent="0.25">
      <c r="A12" t="s">
        <v>15</v>
      </c>
      <c r="B12" t="s">
        <v>83</v>
      </c>
      <c r="C12" s="54" t="s">
        <v>184</v>
      </c>
      <c r="D12" s="54" t="s">
        <v>185</v>
      </c>
    </row>
    <row r="13" spans="1:7" ht="39.6" customHeight="1" x14ac:dyDescent="0.25">
      <c r="A13" t="s">
        <v>15</v>
      </c>
      <c r="B13" t="s">
        <v>84</v>
      </c>
      <c r="C13" s="54" t="s">
        <v>186</v>
      </c>
      <c r="D13" s="54" t="s">
        <v>187</v>
      </c>
    </row>
    <row r="14" spans="1:7" ht="39.6" customHeight="1" x14ac:dyDescent="0.25">
      <c r="A14" t="s">
        <v>15</v>
      </c>
      <c r="B14" t="s">
        <v>85</v>
      </c>
      <c r="C14" s="54" t="s">
        <v>188</v>
      </c>
      <c r="D14" s="51" t="s">
        <v>189</v>
      </c>
    </row>
    <row r="15" spans="1:7" ht="26.4" customHeight="1" x14ac:dyDescent="0.25">
      <c r="A15" t="s">
        <v>15</v>
      </c>
      <c r="B15" t="s">
        <v>86</v>
      </c>
      <c r="C15" s="54" t="s">
        <v>190</v>
      </c>
      <c r="D15" s="54" t="s">
        <v>191</v>
      </c>
    </row>
    <row r="16" spans="1:7" ht="39.6" customHeight="1" x14ac:dyDescent="0.25">
      <c r="A16" t="s">
        <v>15</v>
      </c>
      <c r="B16" t="s">
        <v>87</v>
      </c>
      <c r="C16" s="54" t="s">
        <v>192</v>
      </c>
      <c r="D16" s="54" t="s">
        <v>193</v>
      </c>
    </row>
    <row r="17" spans="1:4" ht="39.6" customHeight="1" x14ac:dyDescent="0.25">
      <c r="A17" t="s">
        <v>15</v>
      </c>
      <c r="B17" t="s">
        <v>88</v>
      </c>
      <c r="C17" s="54" t="s">
        <v>194</v>
      </c>
      <c r="D17" s="54" t="s">
        <v>195</v>
      </c>
    </row>
    <row r="18" spans="1:4" ht="52.8" customHeight="1" x14ac:dyDescent="0.25">
      <c r="A18" t="s">
        <v>15</v>
      </c>
      <c r="B18" t="s">
        <v>89</v>
      </c>
      <c r="C18" s="54" t="s">
        <v>196</v>
      </c>
      <c r="D18" s="54" t="s">
        <v>197</v>
      </c>
    </row>
    <row r="19" spans="1:4" ht="26.4" x14ac:dyDescent="0.25">
      <c r="A19" t="s">
        <v>198</v>
      </c>
      <c r="B19" t="s">
        <v>80</v>
      </c>
      <c r="C19" s="54" t="s">
        <v>229</v>
      </c>
      <c r="D19" s="54" t="s">
        <v>230</v>
      </c>
    </row>
    <row r="20" spans="1:4" ht="39.6" x14ac:dyDescent="0.25">
      <c r="A20" t="s">
        <v>198</v>
      </c>
      <c r="B20" t="s">
        <v>81</v>
      </c>
      <c r="C20" s="54" t="s">
        <v>231</v>
      </c>
      <c r="D20" s="54" t="s">
        <v>232</v>
      </c>
    </row>
    <row r="21" spans="1:4" ht="26.4" x14ac:dyDescent="0.25">
      <c r="A21" t="s">
        <v>198</v>
      </c>
      <c r="B21" t="s">
        <v>82</v>
      </c>
      <c r="C21" s="54" t="s">
        <v>233</v>
      </c>
      <c r="D21" s="54" t="s">
        <v>234</v>
      </c>
    </row>
    <row r="22" spans="1:4" ht="26.4" x14ac:dyDescent="0.25">
      <c r="A22" t="s">
        <v>198</v>
      </c>
      <c r="B22" t="s">
        <v>83</v>
      </c>
      <c r="C22" t="s">
        <v>235</v>
      </c>
      <c r="D22" s="54" t="s">
        <v>236</v>
      </c>
    </row>
    <row r="23" spans="1:4" ht="39.6" x14ac:dyDescent="0.25">
      <c r="A23" t="s">
        <v>198</v>
      </c>
      <c r="B23" t="s">
        <v>84</v>
      </c>
      <c r="C23" s="54" t="s">
        <v>237</v>
      </c>
      <c r="D23" s="54" t="s">
        <v>238</v>
      </c>
    </row>
    <row r="24" spans="1:4" ht="39.6" x14ac:dyDescent="0.25">
      <c r="A24" t="s">
        <v>198</v>
      </c>
      <c r="B24" t="s">
        <v>85</v>
      </c>
      <c r="C24" s="54" t="s">
        <v>239</v>
      </c>
      <c r="D24" s="54" t="s">
        <v>240</v>
      </c>
    </row>
    <row r="25" spans="1:4" ht="52.8" x14ac:dyDescent="0.25">
      <c r="A25" t="s">
        <v>198</v>
      </c>
      <c r="B25" t="s">
        <v>86</v>
      </c>
      <c r="C25" t="s">
        <v>241</v>
      </c>
      <c r="D25" s="54" t="s">
        <v>242</v>
      </c>
    </row>
  </sheetData>
  <phoneticPr fontId="10" type="noConversion"/>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9"/>
  <dimension ref="A1:I10"/>
  <sheetViews>
    <sheetView showGridLines="0" topLeftCell="A2" workbookViewId="0">
      <selection activeCell="L4" sqref="L4"/>
    </sheetView>
  </sheetViews>
  <sheetFormatPr defaultColWidth="9.109375" defaultRowHeight="13.2" x14ac:dyDescent="0.25"/>
  <cols>
    <col min="1" max="1" width="6.88671875" style="1" customWidth="1"/>
    <col min="2" max="4" width="12.33203125" style="4" customWidth="1"/>
    <col min="5" max="5" width="20.33203125" style="1" customWidth="1"/>
    <col min="6" max="6" width="12.33203125" style="4" customWidth="1"/>
    <col min="7" max="7" width="27.33203125" style="5" customWidth="1"/>
    <col min="8" max="8" width="16.44140625" style="1" customWidth="1"/>
    <col min="9" max="9" width="18.109375" style="1" customWidth="1"/>
    <col min="10" max="11" width="9.109375" style="1" customWidth="1"/>
    <col min="12" max="16384" width="9.109375" style="1"/>
  </cols>
  <sheetData>
    <row r="1" spans="1:9" s="3" customFormat="1" ht="45.75" customHeight="1" x14ac:dyDescent="0.25">
      <c r="A1" s="39" t="s">
        <v>0</v>
      </c>
      <c r="B1" s="39" t="s">
        <v>1</v>
      </c>
      <c r="C1" s="39" t="s">
        <v>2</v>
      </c>
      <c r="D1" s="39" t="s">
        <v>3</v>
      </c>
      <c r="E1" s="39" t="s">
        <v>4</v>
      </c>
      <c r="F1" s="39" t="s">
        <v>5</v>
      </c>
      <c r="G1" s="39" t="s">
        <v>6</v>
      </c>
      <c r="H1" s="39" t="s">
        <v>7</v>
      </c>
      <c r="I1" s="39" t="s">
        <v>8</v>
      </c>
    </row>
    <row r="2" spans="1:9" ht="66" customHeight="1" x14ac:dyDescent="0.25">
      <c r="A2" s="7">
        <v>1</v>
      </c>
      <c r="B2" t="s">
        <v>9</v>
      </c>
      <c r="C2" s="60">
        <v>46260</v>
      </c>
      <c r="D2" s="60">
        <v>46268</v>
      </c>
      <c r="E2" t="s">
        <v>10</v>
      </c>
      <c r="F2" s="54" t="s">
        <v>11</v>
      </c>
      <c r="G2" s="54" t="s">
        <v>12</v>
      </c>
      <c r="H2" s="54" t="s">
        <v>13</v>
      </c>
      <c r="I2" s="54" t="s">
        <v>14</v>
      </c>
    </row>
    <row r="3" spans="1:9" ht="92.4" customHeight="1" x14ac:dyDescent="0.25">
      <c r="A3" s="7">
        <v>2</v>
      </c>
      <c r="B3" t="s">
        <v>15</v>
      </c>
      <c r="C3" s="60">
        <v>46269</v>
      </c>
      <c r="D3" s="60">
        <v>46278</v>
      </c>
      <c r="E3" t="s">
        <v>10</v>
      </c>
      <c r="F3" s="54" t="s">
        <v>16</v>
      </c>
      <c r="G3" s="54" t="s">
        <v>17</v>
      </c>
      <c r="H3" s="54" t="s">
        <v>18</v>
      </c>
      <c r="I3" s="54" t="s">
        <v>19</v>
      </c>
    </row>
    <row r="4" spans="1:9" ht="92.4" x14ac:dyDescent="0.25">
      <c r="A4" s="7">
        <v>3</v>
      </c>
      <c r="B4" s="7" t="s">
        <v>198</v>
      </c>
      <c r="C4" s="61">
        <v>46279</v>
      </c>
      <c r="D4" s="73">
        <v>46289</v>
      </c>
      <c r="E4" t="s">
        <v>10</v>
      </c>
      <c r="F4" s="54" t="s">
        <v>243</v>
      </c>
      <c r="G4" s="8" t="s">
        <v>244</v>
      </c>
      <c r="H4" s="54" t="s">
        <v>245</v>
      </c>
      <c r="I4" s="54" t="s">
        <v>246</v>
      </c>
    </row>
    <row r="5" spans="1:9" x14ac:dyDescent="0.25">
      <c r="A5" s="7">
        <v>4</v>
      </c>
      <c r="B5" s="7"/>
      <c r="C5" s="7"/>
      <c r="D5" s="7"/>
      <c r="E5" s="11"/>
      <c r="F5" s="7"/>
      <c r="G5" s="10"/>
      <c r="H5" s="11"/>
      <c r="I5" s="11"/>
    </row>
    <row r="6" spans="1:9" x14ac:dyDescent="0.25">
      <c r="A6" s="7">
        <v>5</v>
      </c>
      <c r="B6" s="7"/>
      <c r="C6" s="7"/>
      <c r="D6" s="7"/>
      <c r="E6" s="11"/>
      <c r="F6" s="7"/>
      <c r="G6" s="9"/>
      <c r="H6" s="11"/>
      <c r="I6" s="11"/>
    </row>
    <row r="7" spans="1:9" x14ac:dyDescent="0.25">
      <c r="A7" s="7">
        <v>6</v>
      </c>
      <c r="B7" s="7"/>
      <c r="C7" s="7"/>
      <c r="D7" s="7"/>
      <c r="E7" s="11"/>
      <c r="F7" s="7"/>
      <c r="G7" s="8"/>
      <c r="H7" s="11"/>
      <c r="I7" s="11"/>
    </row>
    <row r="8" spans="1:9" x14ac:dyDescent="0.25">
      <c r="A8" s="7">
        <v>7</v>
      </c>
      <c r="B8" s="7"/>
      <c r="C8" s="7"/>
      <c r="D8" s="7"/>
      <c r="E8" s="11"/>
      <c r="F8" s="7"/>
      <c r="G8" s="9"/>
      <c r="H8" s="11"/>
      <c r="I8" s="11"/>
    </row>
    <row r="9" spans="1:9" x14ac:dyDescent="0.25">
      <c r="A9" s="7"/>
    </row>
    <row r="10" spans="1:9" x14ac:dyDescent="0.25">
      <c r="A10" s="7"/>
    </row>
  </sheetData>
  <pageMargins left="0.7" right="0.7" top="0.75" bottom="0.75" header="0.3" footer="0.3"/>
  <pageSetup orientation="portrait" horizontalDpi="4294967292" verticalDpi="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Product Backlog</vt:lpstr>
      <vt:lpstr>Sprint Backlog</vt:lpstr>
      <vt:lpstr>Stand up Meeting</vt:lpstr>
      <vt:lpstr>Retrospection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Agile  Template</dc:title>
  <dc:creator>Sumeet_Kumar08@infosys.com</dc:creator>
  <cp:keywords>Agile, Scrum</cp:keywords>
  <dc:description>Sprint Backlog</dc:description>
  <cp:lastModifiedBy>dharma teja</cp:lastModifiedBy>
  <dcterms:created xsi:type="dcterms:W3CDTF">1996-10-14T23:33:28Z</dcterms:created>
  <dcterms:modified xsi:type="dcterms:W3CDTF">2026-09-24T06:03:30Z</dcterms:modified>
  <cp:category>Agile Template for Trainees</cp:category>
  <cp:contentStatus>Final document</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thodology">
    <vt:lpwstr>;#Tools;#Scrum;#</vt:lpwstr>
  </property>
  <property fmtid="{D5CDD505-2E9C-101B-9397-08002B2CF9AE}" pid="3" name="Rating">
    <vt:lpwstr>4-High</vt:lpwstr>
  </property>
  <property fmtid="{D5CDD505-2E9C-101B-9397-08002B2CF9AE}" pid="4" name="Description0">
    <vt:lpwstr>This is a burn down chart that allows you to add scope in the middle of the sprint and see the affect.  You have to keep the total amount of new scope equal to the line called "New Effort".  A validation area will go red if it is not done properly.</vt:lpwstr>
  </property>
  <property fmtid="{D5CDD505-2E9C-101B-9397-08002B2CF9AE}" pid="5" name="Order">
    <vt:lpwstr>3300.00000000000</vt:lpwstr>
  </property>
  <property fmtid="{D5CDD505-2E9C-101B-9397-08002B2CF9AE}" pid="6" name="Category0">
    <vt:lpwstr>Methodology - Scrum</vt:lpwstr>
  </property>
  <property fmtid="{D5CDD505-2E9C-101B-9397-08002B2CF9AE}" pid="7" name="SPSDescription">
    <vt:lpwstr>This is a burn down chart that allows you to add scope in the middle of the sprint and see the affect.  You have to keep the total amount of new scope equal to the line called "New Effort".  A validation area will go red if it is not done properly.</vt:lpwstr>
  </property>
  <property fmtid="{D5CDD505-2E9C-101B-9397-08002B2CF9AE}" pid="8" name="PMCategory">
    <vt:lpwstr>Project Plan</vt:lpwstr>
  </property>
  <property fmtid="{D5CDD505-2E9C-101B-9397-08002B2CF9AE}" pid="9" name="SignoffStatus">
    <vt:lpwstr>Approved</vt:lpwstr>
  </property>
  <property fmtid="{D5CDD505-2E9C-101B-9397-08002B2CF9AE}" pid="10" name="Owner">
    <vt:lpwstr>Randar Puust</vt:lpwstr>
  </property>
  <property fmtid="{D5CDD505-2E9C-101B-9397-08002B2CF9AE}" pid="11" name="Status">
    <vt:lpwstr>Final</vt:lpwstr>
  </property>
  <property fmtid="{D5CDD505-2E9C-101B-9397-08002B2CF9AE}" pid="12" name="Link">
    <vt:lpwstr>, </vt:lpwstr>
  </property>
  <property fmtid="{D5CDD505-2E9C-101B-9397-08002B2CF9AE}" pid="13" name="ContentType">
    <vt:lpwstr>Document</vt:lpwstr>
  </property>
  <property fmtid="{D5CDD505-2E9C-101B-9397-08002B2CF9AE}" pid="14" name="VS Team System Data DO NOT EDIT_GUID">
    <vt:lpwstr>5b4acbef-0c96-48e6-b720-1f08c595fa14</vt:lpwstr>
  </property>
  <property fmtid="{D5CDD505-2E9C-101B-9397-08002B2CF9AE}" pid="15" name="Sensitivity">
    <vt:lpwstr>Internal Companywide usage</vt:lpwstr>
  </property>
</Properties>
</file>